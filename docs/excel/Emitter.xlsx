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24226"/>
  <mc:AlternateContent xmlns:mc="http://schemas.openxmlformats.org/markup-compatibility/2006">
    <mc:Choice Requires="x15">
      <x15ac:absPath xmlns:x15ac="http://schemas.microsoft.com/office/spreadsheetml/2010/11/ac" url="C:\python\"/>
    </mc:Choice>
  </mc:AlternateContent>
  <xr:revisionPtr revIDLastSave="0" documentId="13_ncr:1_{0F847781-376B-4025-A944-C7430AA3CA9E}" xr6:coauthVersionLast="46" xr6:coauthVersionMax="46" xr10:uidLastSave="{00000000-0000-0000-0000-000000000000}"/>
  <bookViews>
    <workbookView xWindow="12705" yWindow="7260" windowWidth="20625" windowHeight="9240" xr2:uid="{00000000-000D-0000-FFFF-FFFF00000000}"/>
  </bookViews>
  <sheets>
    <sheet name="MHP Emulator Emitter List" sheetId="1" r:id="rId1"/>
    <sheet name="Plot Data Sheet" sheetId="2" state="hidden" r:id="rId2"/>
    <sheet name="Parameter Description" sheetId="3" r:id="rId3"/>
    <sheet name="Freq Coverage" sheetId="4" r:id="rId4"/>
    <sheet name="Sheet2" sheetId="5" r:id="rId5"/>
  </sheets>
  <externalReferences>
    <externalReference r:id="rId6"/>
  </externalReferences>
  <definedNames>
    <definedName name="_xlnm._FilterDatabase" localSheetId="0" hidden="1">'MHP Emulator Emitter List'!$A$1:$BK$116</definedName>
    <definedName name="_xlnm.Print_Area" localSheetId="0">'MHP Emulator Emitter List'!$A$1:$BW$116</definedName>
    <definedName name="_xlnm.Print_Titles" localSheetId="0">'MHP Emulator Emitter List'!$1:$1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1" l="1"/>
  <c r="B19" i="1"/>
  <c r="B18" i="1"/>
  <c r="B17" i="1"/>
  <c r="A9" i="2" s="1"/>
  <c r="B16" i="1"/>
  <c r="B15" i="1"/>
  <c r="B14" i="1"/>
  <c r="B13" i="1"/>
  <c r="B12" i="1"/>
  <c r="B11" i="1"/>
  <c r="B10" i="1"/>
  <c r="B9" i="1"/>
  <c r="B8" i="1"/>
  <c r="B7" i="1"/>
  <c r="B6" i="1"/>
  <c r="B5" i="1"/>
  <c r="B4" i="1"/>
  <c r="B3" i="1"/>
  <c r="B2" i="1"/>
  <c r="A2" i="2" s="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O40" i="1"/>
  <c r="O39" i="1"/>
  <c r="O38" i="1"/>
  <c r="O37" i="1"/>
  <c r="O116" i="1"/>
  <c r="O77" i="1"/>
  <c r="O102" i="1"/>
  <c r="O76" i="1"/>
  <c r="O25" i="1"/>
  <c r="O24" i="1"/>
  <c r="O20" i="1"/>
  <c r="O23" i="1"/>
  <c r="O28" i="1"/>
  <c r="O36" i="1"/>
  <c r="O101" i="1"/>
  <c r="O41" i="1"/>
  <c r="O105" i="1"/>
  <c r="O22" i="1"/>
  <c r="O35" i="1"/>
  <c r="O8" i="1"/>
  <c r="O7" i="1"/>
  <c r="O6" i="1"/>
  <c r="O96" i="1"/>
  <c r="O5" i="1"/>
  <c r="O44" i="1"/>
  <c r="O43" i="1"/>
  <c r="O42" i="1"/>
  <c r="O34" i="1"/>
  <c r="O93" i="1"/>
  <c r="O109" i="1"/>
  <c r="O108" i="1"/>
  <c r="O81" i="1"/>
  <c r="O53" i="1"/>
  <c r="O110" i="1"/>
  <c r="O3" i="1"/>
  <c r="O2" i="1"/>
  <c r="O14" i="1"/>
  <c r="O19" i="1"/>
  <c r="O18" i="1"/>
  <c r="O114" i="1"/>
  <c r="O113" i="1"/>
  <c r="O112" i="1"/>
  <c r="O111" i="1"/>
  <c r="O21" i="1"/>
  <c r="O95" i="1"/>
  <c r="O68" i="1"/>
  <c r="O49" i="1"/>
  <c r="O48" i="1"/>
  <c r="O94" i="1"/>
  <c r="O17" i="1"/>
  <c r="O100" i="1"/>
  <c r="O16" i="1"/>
  <c r="O99" i="1"/>
  <c r="O15" i="1"/>
  <c r="O72" i="1"/>
  <c r="O66" i="1"/>
  <c r="O65" i="1"/>
  <c r="O52" i="1"/>
  <c r="O51" i="1"/>
  <c r="O50" i="1"/>
  <c r="O83" i="1"/>
  <c r="O71" i="1"/>
  <c r="O64" i="1"/>
  <c r="O62" i="1"/>
  <c r="O61" i="1"/>
  <c r="O60" i="1"/>
  <c r="O59" i="1"/>
  <c r="O58" i="1"/>
  <c r="O57" i="1"/>
  <c r="O70" i="1"/>
  <c r="O69" i="1"/>
  <c r="O92" i="1"/>
  <c r="O91" i="1"/>
  <c r="O90" i="1"/>
  <c r="O89" i="1"/>
  <c r="O73" i="1"/>
  <c r="O33" i="1"/>
  <c r="O4" i="1"/>
  <c r="O56" i="1"/>
  <c r="O55" i="1"/>
  <c r="O32" i="1"/>
  <c r="O80" i="1"/>
  <c r="O46" i="1"/>
  <c r="O45" i="1"/>
  <c r="O79" i="1"/>
  <c r="O31" i="1"/>
  <c r="O78" i="1"/>
  <c r="O30" i="1"/>
  <c r="O29" i="1"/>
  <c r="O88" i="1"/>
  <c r="O87" i="1"/>
  <c r="O86" i="1"/>
  <c r="O85" i="1"/>
  <c r="O82" i="1"/>
  <c r="O13" i="1"/>
  <c r="O106" i="1"/>
  <c r="O54" i="1"/>
  <c r="O12" i="1"/>
  <c r="O10" i="1"/>
  <c r="O9" i="1"/>
  <c r="O27" i="1"/>
  <c r="O47" i="1"/>
  <c r="O104" i="1"/>
  <c r="O103" i="1"/>
  <c r="O26" i="1"/>
  <c r="O67" i="1"/>
  <c r="O11" i="1"/>
  <c r="O75" i="1"/>
  <c r="O107" i="1"/>
  <c r="O115" i="1"/>
  <c r="O98" i="1"/>
  <c r="O97" i="1"/>
  <c r="O84" i="1"/>
  <c r="O74" i="1"/>
  <c r="O63" i="1"/>
  <c r="BY112" i="1"/>
  <c r="BY110" i="1"/>
  <c r="BY107" i="1"/>
  <c r="BY105" i="1"/>
  <c r="BY104" i="1"/>
  <c r="BY103" i="1"/>
  <c r="BY102" i="1"/>
  <c r="BY97" i="1"/>
  <c r="BY95" i="1"/>
  <c r="BY94" i="1"/>
  <c r="BY92" i="1"/>
  <c r="BY91" i="1"/>
  <c r="BY90" i="1"/>
  <c r="BY89" i="1"/>
  <c r="BY82" i="1"/>
  <c r="BY81" i="1"/>
  <c r="BY80" i="1"/>
  <c r="BY79" i="1"/>
  <c r="BY78" i="1"/>
  <c r="BY76" i="1"/>
  <c r="BY72" i="1"/>
  <c r="BY71" i="1"/>
  <c r="BY70" i="1"/>
  <c r="BY69" i="1"/>
  <c r="BY64" i="1"/>
  <c r="BY63" i="1"/>
  <c r="BY60" i="1"/>
  <c r="BY59" i="1"/>
  <c r="BY58" i="1"/>
  <c r="BY57" i="1"/>
  <c r="BY56" i="1"/>
  <c r="BY55" i="1"/>
  <c r="BY53" i="1"/>
  <c r="BY52" i="1"/>
  <c r="BY51" i="1"/>
  <c r="BY50" i="1"/>
  <c r="BY49" i="1"/>
  <c r="BY48" i="1"/>
  <c r="BY47" i="1"/>
  <c r="BY46" i="1"/>
  <c r="BY45" i="1"/>
  <c r="BY41" i="1"/>
  <c r="BY40" i="1"/>
  <c r="BY39" i="1"/>
  <c r="BY38" i="1"/>
  <c r="BY37" i="1"/>
  <c r="BY34" i="1"/>
  <c r="BY33" i="1"/>
  <c r="BY32" i="1"/>
  <c r="BY28" i="1"/>
  <c r="BY26" i="1"/>
  <c r="BY24" i="1"/>
  <c r="BY21" i="1"/>
  <c r="BY20" i="1"/>
  <c r="BY18" i="1"/>
  <c r="BY16" i="1"/>
  <c r="BY15" i="1"/>
  <c r="BY111" i="1"/>
  <c r="BY106" i="1"/>
  <c r="BY88" i="1"/>
  <c r="BY87" i="1"/>
  <c r="BY86" i="1"/>
  <c r="BY85" i="1"/>
  <c r="BY84" i="1"/>
  <c r="BY83" i="1"/>
  <c r="BY75" i="1"/>
  <c r="BY74" i="1"/>
  <c r="BY73" i="1"/>
  <c r="BY68" i="1"/>
  <c r="BY67" i="1"/>
  <c r="BY62" i="1"/>
  <c r="BY61" i="1"/>
  <c r="BY42" i="1"/>
  <c r="BY31" i="1"/>
  <c r="BY30" i="1"/>
  <c r="BY29" i="1"/>
  <c r="BY25" i="1"/>
  <c r="BY13" i="1"/>
  <c r="BY12" i="1"/>
  <c r="BY11" i="1"/>
  <c r="BY10" i="1"/>
  <c r="BY9" i="1"/>
  <c r="BY6" i="1"/>
  <c r="G9" i="1"/>
  <c r="G72" i="1"/>
  <c r="C15" i="1"/>
  <c r="G15" i="1"/>
  <c r="N15" i="1"/>
  <c r="T15" i="1"/>
  <c r="Y15" i="1"/>
  <c r="C16" i="1"/>
  <c r="G16" i="1"/>
  <c r="N16" i="1"/>
  <c r="T16" i="1"/>
  <c r="Y16" i="1"/>
  <c r="C17" i="1"/>
  <c r="G17" i="1"/>
  <c r="N17" i="1"/>
  <c r="T17" i="1"/>
  <c r="Y17" i="1"/>
  <c r="G71" i="1"/>
  <c r="G70" i="1"/>
  <c r="G69" i="1"/>
  <c r="BE114" i="1"/>
  <c r="BE113" i="1"/>
  <c r="BE104" i="1"/>
  <c r="G97" i="1"/>
  <c r="G98" i="1" s="1"/>
  <c r="G2" i="1"/>
  <c r="N2" i="1"/>
  <c r="T2" i="1"/>
  <c r="Y2" i="1"/>
  <c r="BE2" i="1"/>
  <c r="G3" i="1"/>
  <c r="N3" i="1"/>
  <c r="T3" i="1"/>
  <c r="Y3" i="1"/>
  <c r="BE3" i="1"/>
  <c r="C4" i="1"/>
  <c r="G4" i="1"/>
  <c r="N4" i="1"/>
  <c r="T4" i="1"/>
  <c r="Y4" i="1"/>
  <c r="BE4" i="1"/>
  <c r="C5" i="1"/>
  <c r="G5" i="1"/>
  <c r="N5" i="1"/>
  <c r="T5" i="1"/>
  <c r="Y5" i="1"/>
  <c r="BE5" i="1"/>
  <c r="C6" i="1"/>
  <c r="G6" i="1"/>
  <c r="N6" i="1"/>
  <c r="T6" i="1"/>
  <c r="Y6" i="1"/>
  <c r="BE6" i="1"/>
  <c r="C7" i="1"/>
  <c r="G7" i="1"/>
  <c r="N7" i="1"/>
  <c r="T7" i="1"/>
  <c r="Y7" i="1"/>
  <c r="BE7" i="1"/>
  <c r="C8" i="1"/>
  <c r="G8" i="1"/>
  <c r="N8" i="1"/>
  <c r="T8" i="1"/>
  <c r="Y8" i="1"/>
  <c r="BE8" i="1"/>
  <c r="C9" i="1"/>
  <c r="N9" i="1"/>
  <c r="T9" i="1"/>
  <c r="Y9" i="1"/>
  <c r="BE9" i="1"/>
  <c r="C10" i="1"/>
  <c r="G10" i="1"/>
  <c r="N10" i="1"/>
  <c r="T10" i="1"/>
  <c r="Y10" i="1"/>
  <c r="BE10" i="1"/>
  <c r="C11" i="1"/>
  <c r="G11" i="1"/>
  <c r="N11" i="1"/>
  <c r="T11" i="1"/>
  <c r="Y11" i="1"/>
  <c r="C12" i="1"/>
  <c r="G12" i="1"/>
  <c r="N12" i="1"/>
  <c r="T12" i="1"/>
  <c r="Y12" i="1"/>
  <c r="C13" i="1"/>
  <c r="G13" i="1"/>
  <c r="N13" i="1"/>
  <c r="T13" i="1"/>
  <c r="Y13" i="1"/>
  <c r="C14" i="1"/>
  <c r="G14" i="1"/>
  <c r="N14" i="1"/>
  <c r="T14" i="1"/>
  <c r="Y14" i="1"/>
  <c r="AJ14" i="1"/>
  <c r="BE14" i="1"/>
  <c r="C18" i="1"/>
  <c r="G18" i="1"/>
  <c r="N18" i="1"/>
  <c r="T18" i="1"/>
  <c r="Y18" i="1"/>
  <c r="AJ18" i="1"/>
  <c r="BE18" i="1"/>
  <c r="C20" i="1"/>
  <c r="G20" i="1"/>
  <c r="N20" i="1"/>
  <c r="T20" i="1"/>
  <c r="Y20" i="1"/>
  <c r="AJ20" i="1"/>
  <c r="BE20" i="1"/>
  <c r="A10" i="2"/>
  <c r="C19" i="1"/>
  <c r="G19" i="1"/>
  <c r="N19" i="1"/>
  <c r="T19" i="1"/>
  <c r="Y19" i="1"/>
  <c r="AJ19" i="1"/>
  <c r="BE19" i="1"/>
  <c r="B21" i="1"/>
  <c r="C21" i="1"/>
  <c r="N21" i="1"/>
  <c r="T21" i="1"/>
  <c r="Y21" i="1"/>
  <c r="BE21" i="1"/>
  <c r="B23" i="1"/>
  <c r="C23" i="1"/>
  <c r="N23" i="1"/>
  <c r="T23" i="1"/>
  <c r="Y23" i="1"/>
  <c r="BE23" i="1"/>
  <c r="B22" i="1"/>
  <c r="C22" i="1"/>
  <c r="N22" i="1"/>
  <c r="T22" i="1"/>
  <c r="Y22" i="1"/>
  <c r="BE22" i="1"/>
  <c r="B24" i="1"/>
  <c r="C24" i="1"/>
  <c r="G24" i="1"/>
  <c r="N24" i="1"/>
  <c r="T24" i="1"/>
  <c r="Y24" i="1"/>
  <c r="BE24" i="1"/>
  <c r="B25" i="1"/>
  <c r="C25" i="1"/>
  <c r="G25" i="1"/>
  <c r="N25" i="1"/>
  <c r="T25" i="1"/>
  <c r="Y25" i="1"/>
  <c r="BE25" i="1"/>
  <c r="B26" i="1"/>
  <c r="C26" i="1"/>
  <c r="N26" i="1"/>
  <c r="T26" i="1"/>
  <c r="Y26" i="1"/>
  <c r="BE26" i="1"/>
  <c r="B28" i="1"/>
  <c r="C28" i="1"/>
  <c r="N28" i="1"/>
  <c r="T28" i="1"/>
  <c r="Y28" i="1"/>
  <c r="BE28" i="1"/>
  <c r="B27" i="1"/>
  <c r="C27" i="1"/>
  <c r="N27" i="1"/>
  <c r="T27" i="1"/>
  <c r="Y27" i="1"/>
  <c r="BE27" i="1"/>
  <c r="B31" i="1"/>
  <c r="C31" i="1"/>
  <c r="G31" i="1"/>
  <c r="N31" i="1"/>
  <c r="T31" i="1"/>
  <c r="Y31" i="1"/>
  <c r="B30" i="1"/>
  <c r="C30" i="1"/>
  <c r="G30" i="1"/>
  <c r="N30" i="1"/>
  <c r="T30" i="1"/>
  <c r="Y30" i="1"/>
  <c r="B29" i="1"/>
  <c r="C29" i="1"/>
  <c r="G29" i="1"/>
  <c r="N29" i="1"/>
  <c r="T29" i="1"/>
  <c r="Y29" i="1"/>
  <c r="B32" i="1"/>
  <c r="C32" i="1"/>
  <c r="G32" i="1"/>
  <c r="N32" i="1"/>
  <c r="T32" i="1"/>
  <c r="Y32" i="1"/>
  <c r="B33" i="1"/>
  <c r="C33" i="1"/>
  <c r="G33" i="1"/>
  <c r="N33" i="1"/>
  <c r="T33" i="1"/>
  <c r="Y33" i="1"/>
  <c r="B34" i="1"/>
  <c r="C34" i="1"/>
  <c r="N34" i="1"/>
  <c r="T34" i="1"/>
  <c r="Y34" i="1"/>
  <c r="BE34" i="1"/>
  <c r="B35" i="1"/>
  <c r="C35" i="1"/>
  <c r="N35" i="1"/>
  <c r="T35" i="1"/>
  <c r="Y35" i="1"/>
  <c r="BE35" i="1"/>
  <c r="B36" i="1"/>
  <c r="C36" i="1"/>
  <c r="N36" i="1"/>
  <c r="T36" i="1"/>
  <c r="Y36" i="1"/>
  <c r="BE36" i="1"/>
  <c r="B37" i="1"/>
  <c r="C37" i="1"/>
  <c r="G37" i="1"/>
  <c r="T37" i="1"/>
  <c r="Y37" i="1"/>
  <c r="B38" i="1"/>
  <c r="C38" i="1"/>
  <c r="G38" i="1"/>
  <c r="T38" i="1"/>
  <c r="Y38" i="1"/>
  <c r="B39" i="1"/>
  <c r="C39" i="1"/>
  <c r="G39" i="1"/>
  <c r="T39" i="1"/>
  <c r="Y39" i="1"/>
  <c r="B40" i="1"/>
  <c r="C40" i="1"/>
  <c r="G40" i="1"/>
  <c r="T40" i="1"/>
  <c r="Y40" i="1"/>
  <c r="B41" i="1"/>
  <c r="C41" i="1"/>
  <c r="G41" i="1"/>
  <c r="N41" i="1"/>
  <c r="T41" i="1"/>
  <c r="Y41" i="1"/>
  <c r="B42" i="1"/>
  <c r="C42" i="1"/>
  <c r="G42" i="1"/>
  <c r="N42" i="1"/>
  <c r="T42" i="1"/>
  <c r="Y42" i="1"/>
  <c r="BE42" i="1"/>
  <c r="B43" i="1"/>
  <c r="C43" i="1"/>
  <c r="G43" i="1"/>
  <c r="N43" i="1"/>
  <c r="T43" i="1"/>
  <c r="Y43" i="1"/>
  <c r="BE43" i="1"/>
  <c r="B44" i="1"/>
  <c r="C44" i="1"/>
  <c r="G44" i="1"/>
  <c r="N44" i="1"/>
  <c r="T44" i="1"/>
  <c r="Y44" i="1"/>
  <c r="BE44" i="1"/>
  <c r="B45" i="1"/>
  <c r="C45" i="1"/>
  <c r="G45" i="1"/>
  <c r="N45" i="1"/>
  <c r="T45" i="1"/>
  <c r="Y45" i="1"/>
  <c r="B46" i="1"/>
  <c r="C46" i="1"/>
  <c r="G46" i="1"/>
  <c r="N46" i="1"/>
  <c r="T46" i="1"/>
  <c r="Y46" i="1"/>
  <c r="B47" i="1"/>
  <c r="C47" i="1"/>
  <c r="G47" i="1"/>
  <c r="N47" i="1"/>
  <c r="T47" i="1"/>
  <c r="Y47" i="1"/>
  <c r="B48" i="1"/>
  <c r="C48" i="1"/>
  <c r="G48" i="1"/>
  <c r="N48" i="1"/>
  <c r="T48" i="1"/>
  <c r="Y48" i="1"/>
  <c r="BE48" i="1"/>
  <c r="B49" i="1"/>
  <c r="C49" i="1"/>
  <c r="G49" i="1"/>
  <c r="N49" i="1"/>
  <c r="T49" i="1"/>
  <c r="Y49" i="1"/>
  <c r="BE49" i="1"/>
  <c r="B50" i="1"/>
  <c r="C50" i="1"/>
  <c r="G50" i="1"/>
  <c r="N50" i="1"/>
  <c r="T50" i="1"/>
  <c r="Y50" i="1"/>
  <c r="B51" i="1"/>
  <c r="C51" i="1"/>
  <c r="G51" i="1"/>
  <c r="N51" i="1"/>
  <c r="T51" i="1"/>
  <c r="Y51" i="1"/>
  <c r="B52" i="1"/>
  <c r="A33" i="2" s="1"/>
  <c r="C52" i="1"/>
  <c r="G52" i="1"/>
  <c r="N52" i="1"/>
  <c r="T52" i="1"/>
  <c r="Y52" i="1"/>
  <c r="B53" i="1"/>
  <c r="C53" i="1"/>
  <c r="G53" i="1"/>
  <c r="N53" i="1"/>
  <c r="T53" i="1"/>
  <c r="Y53" i="1"/>
  <c r="BE53" i="1"/>
  <c r="B54" i="1"/>
  <c r="C54" i="1"/>
  <c r="G54" i="1"/>
  <c r="N54" i="1"/>
  <c r="T54" i="1"/>
  <c r="Y54" i="1"/>
  <c r="BE54" i="1"/>
  <c r="B55" i="1"/>
  <c r="C55" i="1"/>
  <c r="G55" i="1"/>
  <c r="N55" i="1"/>
  <c r="T55" i="1"/>
  <c r="Y55" i="1"/>
  <c r="BE55" i="1"/>
  <c r="B56" i="1"/>
  <c r="C56" i="1"/>
  <c r="G56" i="1"/>
  <c r="N56" i="1"/>
  <c r="T56" i="1"/>
  <c r="Y56" i="1"/>
  <c r="BE56" i="1"/>
  <c r="B57" i="1"/>
  <c r="C57" i="1"/>
  <c r="G57" i="1"/>
  <c r="N57" i="1"/>
  <c r="T57" i="1"/>
  <c r="Y57" i="1"/>
  <c r="BE57" i="1"/>
  <c r="B58" i="1"/>
  <c r="C58" i="1"/>
  <c r="G58" i="1"/>
  <c r="N58" i="1"/>
  <c r="T58" i="1"/>
  <c r="Y58" i="1"/>
  <c r="BE58" i="1"/>
  <c r="B59" i="1"/>
  <c r="C59" i="1"/>
  <c r="G59" i="1"/>
  <c r="N59" i="1"/>
  <c r="T59" i="1"/>
  <c r="Y59" i="1"/>
  <c r="BE59" i="1"/>
  <c r="B60" i="1"/>
  <c r="C60" i="1"/>
  <c r="G60" i="1"/>
  <c r="N60" i="1"/>
  <c r="T60" i="1"/>
  <c r="Y60" i="1"/>
  <c r="BE60" i="1"/>
  <c r="B61" i="1"/>
  <c r="C61" i="1"/>
  <c r="G61" i="1"/>
  <c r="N61" i="1"/>
  <c r="T61" i="1"/>
  <c r="Y61" i="1"/>
  <c r="B62" i="1"/>
  <c r="C62" i="1"/>
  <c r="G62" i="1"/>
  <c r="N62" i="1"/>
  <c r="T62" i="1"/>
  <c r="Y62" i="1"/>
  <c r="B64" i="1"/>
  <c r="C64" i="1"/>
  <c r="G64" i="1"/>
  <c r="N64" i="1"/>
  <c r="T64" i="1"/>
  <c r="Y64" i="1"/>
  <c r="BE64" i="1"/>
  <c r="B65" i="1"/>
  <c r="C65" i="1"/>
  <c r="N65" i="1"/>
  <c r="T65" i="1"/>
  <c r="Y65" i="1"/>
  <c r="BE65" i="1"/>
  <c r="B66" i="1"/>
  <c r="C66" i="1"/>
  <c r="N66" i="1"/>
  <c r="T66" i="1"/>
  <c r="Y66" i="1"/>
  <c r="BE66" i="1"/>
  <c r="B63" i="1"/>
  <c r="A39" i="2" s="1"/>
  <c r="C63" i="1"/>
  <c r="N63" i="1"/>
  <c r="T63" i="1"/>
  <c r="Y63" i="1"/>
  <c r="BE63" i="1"/>
  <c r="B67" i="1"/>
  <c r="C67" i="1"/>
  <c r="G67" i="1"/>
  <c r="N67" i="1"/>
  <c r="T67" i="1"/>
  <c r="Y67" i="1"/>
  <c r="B68" i="1"/>
  <c r="C68" i="1"/>
  <c r="G68" i="1"/>
  <c r="N68" i="1"/>
  <c r="T68" i="1"/>
  <c r="Y68" i="1"/>
  <c r="B69" i="1"/>
  <c r="C69" i="1"/>
  <c r="N69" i="1"/>
  <c r="T69" i="1"/>
  <c r="Y69" i="1"/>
  <c r="BE69" i="1"/>
  <c r="B70" i="1"/>
  <c r="C70" i="1"/>
  <c r="N70" i="1"/>
  <c r="T70" i="1"/>
  <c r="Y70" i="1"/>
  <c r="BE70" i="1"/>
  <c r="B71" i="1"/>
  <c r="C71" i="1"/>
  <c r="N71" i="1"/>
  <c r="T71" i="1"/>
  <c r="Y71" i="1"/>
  <c r="B72" i="1"/>
  <c r="C72" i="1"/>
  <c r="N72" i="1"/>
  <c r="T72" i="1"/>
  <c r="Y72" i="1"/>
  <c r="B73" i="1"/>
  <c r="C73" i="1"/>
  <c r="G73" i="1"/>
  <c r="N73" i="1"/>
  <c r="T73" i="1"/>
  <c r="Y73" i="1"/>
  <c r="B74" i="1"/>
  <c r="C74" i="1"/>
  <c r="G74" i="1"/>
  <c r="N74" i="1"/>
  <c r="T74" i="1"/>
  <c r="Y74" i="1"/>
  <c r="B75" i="1"/>
  <c r="C75" i="1"/>
  <c r="N75" i="1"/>
  <c r="T75" i="1"/>
  <c r="Y75" i="1"/>
  <c r="BE75" i="1"/>
  <c r="B77" i="1"/>
  <c r="C77" i="1"/>
  <c r="N77" i="1"/>
  <c r="T77" i="1"/>
  <c r="Y77" i="1"/>
  <c r="BE77" i="1"/>
  <c r="B76" i="1"/>
  <c r="C76" i="1"/>
  <c r="N76" i="1"/>
  <c r="T76" i="1"/>
  <c r="Y76" i="1"/>
  <c r="BE76" i="1"/>
  <c r="B78" i="1"/>
  <c r="C78" i="1"/>
  <c r="G78" i="1"/>
  <c r="N78" i="1"/>
  <c r="T78" i="1"/>
  <c r="Y78" i="1"/>
  <c r="BE78" i="1"/>
  <c r="B79" i="1"/>
  <c r="C79" i="1"/>
  <c r="G79" i="1"/>
  <c r="N79" i="1"/>
  <c r="T79" i="1"/>
  <c r="Y79" i="1"/>
  <c r="BE79" i="1"/>
  <c r="B80" i="1"/>
  <c r="A46" i="2" s="1"/>
  <c r="C80" i="1"/>
  <c r="G80" i="1"/>
  <c r="N80" i="1"/>
  <c r="T80" i="1"/>
  <c r="Y80" i="1"/>
  <c r="BE80" i="1"/>
  <c r="B81" i="1"/>
  <c r="C81" i="1"/>
  <c r="G81" i="1"/>
  <c r="N81" i="1"/>
  <c r="T81" i="1"/>
  <c r="Y81" i="1"/>
  <c r="B83" i="1"/>
  <c r="C83" i="1"/>
  <c r="G83" i="1"/>
  <c r="N83" i="1"/>
  <c r="T83" i="1"/>
  <c r="Y83" i="1"/>
  <c r="B82" i="1"/>
  <c r="C82" i="1"/>
  <c r="G82" i="1"/>
  <c r="N82" i="1"/>
  <c r="T82" i="1"/>
  <c r="Y82" i="1"/>
  <c r="B84" i="1"/>
  <c r="C84" i="1"/>
  <c r="G84" i="1"/>
  <c r="N84" i="1"/>
  <c r="T84" i="1"/>
  <c r="Y84" i="1"/>
  <c r="BE84" i="1"/>
  <c r="B85" i="1"/>
  <c r="C85" i="1"/>
  <c r="G85" i="1"/>
  <c r="N85" i="1"/>
  <c r="T85" i="1"/>
  <c r="Y85" i="1"/>
  <c r="B86" i="1"/>
  <c r="C86" i="1"/>
  <c r="G86" i="1"/>
  <c r="N86" i="1"/>
  <c r="T86" i="1"/>
  <c r="Y86" i="1"/>
  <c r="B87" i="1"/>
  <c r="C87" i="1"/>
  <c r="G87" i="1"/>
  <c r="N87" i="1"/>
  <c r="T87" i="1"/>
  <c r="Y87" i="1"/>
  <c r="B88" i="1"/>
  <c r="C88" i="1"/>
  <c r="G88" i="1"/>
  <c r="N88" i="1"/>
  <c r="T88" i="1"/>
  <c r="Y88" i="1"/>
  <c r="B89" i="1"/>
  <c r="C89" i="1"/>
  <c r="G89" i="1"/>
  <c r="N89" i="1"/>
  <c r="T89" i="1"/>
  <c r="Y89" i="1"/>
  <c r="BE89" i="1"/>
  <c r="B90" i="1"/>
  <c r="A50" i="2" s="1"/>
  <c r="C90" i="1"/>
  <c r="G90" i="1"/>
  <c r="N90" i="1"/>
  <c r="T90" i="1"/>
  <c r="Y90" i="1"/>
  <c r="BE90" i="1"/>
  <c r="B91" i="1"/>
  <c r="A51" i="2" s="1"/>
  <c r="C91" i="1"/>
  <c r="G91" i="1"/>
  <c r="N91" i="1"/>
  <c r="T91" i="1"/>
  <c r="Y91" i="1"/>
  <c r="BE91" i="1"/>
  <c r="B92" i="1"/>
  <c r="C92" i="1"/>
  <c r="G92" i="1"/>
  <c r="N92" i="1"/>
  <c r="T92" i="1"/>
  <c r="Y92" i="1"/>
  <c r="BE92" i="1"/>
  <c r="B93" i="1"/>
  <c r="C93" i="1"/>
  <c r="G93" i="1"/>
  <c r="N93" i="1"/>
  <c r="T93" i="1"/>
  <c r="Y93" i="1"/>
  <c r="BE93" i="1"/>
  <c r="B94" i="1"/>
  <c r="C94" i="1"/>
  <c r="G94" i="1"/>
  <c r="N94" i="1"/>
  <c r="T94" i="1"/>
  <c r="Y94" i="1"/>
  <c r="BE94" i="1"/>
  <c r="B95" i="1"/>
  <c r="C95" i="1"/>
  <c r="G95" i="1"/>
  <c r="N95" i="1"/>
  <c r="T95" i="1"/>
  <c r="Y95" i="1"/>
  <c r="BE95" i="1"/>
  <c r="B96" i="1"/>
  <c r="A53" i="2" s="1"/>
  <c r="C96" i="1"/>
  <c r="G96" i="1"/>
  <c r="N96" i="1"/>
  <c r="T96" i="1"/>
  <c r="Y96" i="1"/>
  <c r="BE96" i="1"/>
  <c r="B99" i="1"/>
  <c r="A40" i="2" s="1"/>
  <c r="C99" i="1"/>
  <c r="G99" i="1"/>
  <c r="N99" i="1"/>
  <c r="T99" i="1"/>
  <c r="Y99" i="1"/>
  <c r="BE99" i="1"/>
  <c r="B100" i="1"/>
  <c r="C100" i="1"/>
  <c r="G100" i="1"/>
  <c r="N100" i="1"/>
  <c r="T100" i="1"/>
  <c r="Y100" i="1"/>
  <c r="BE100" i="1"/>
  <c r="B97" i="1"/>
  <c r="C97" i="1"/>
  <c r="N97" i="1"/>
  <c r="T97" i="1"/>
  <c r="Y97" i="1"/>
  <c r="BE97" i="1"/>
  <c r="B98" i="1"/>
  <c r="C98" i="1"/>
  <c r="N98" i="1"/>
  <c r="T98" i="1"/>
  <c r="Y98" i="1"/>
  <c r="BE98" i="1"/>
  <c r="B102" i="1"/>
  <c r="C102" i="1"/>
  <c r="G102" i="1"/>
  <c r="N102" i="1"/>
  <c r="T102" i="1"/>
  <c r="Y102" i="1"/>
  <c r="BE102" i="1"/>
  <c r="B101" i="1"/>
  <c r="C101" i="1"/>
  <c r="G101" i="1"/>
  <c r="N101" i="1"/>
  <c r="T101" i="1"/>
  <c r="Y101" i="1"/>
  <c r="BE101" i="1"/>
  <c r="B103" i="1"/>
  <c r="C103" i="1"/>
  <c r="G103" i="1"/>
  <c r="N103" i="1"/>
  <c r="T103" i="1"/>
  <c r="Y103" i="1"/>
  <c r="BE103" i="1"/>
  <c r="B104" i="1"/>
  <c r="A56" i="2" s="1"/>
  <c r="C104" i="1"/>
  <c r="G104" i="1"/>
  <c r="N104" i="1"/>
  <c r="T104" i="1"/>
  <c r="Y104" i="1"/>
  <c r="B105" i="1"/>
  <c r="C105" i="1"/>
  <c r="G105" i="1"/>
  <c r="N105" i="1"/>
  <c r="T105" i="1"/>
  <c r="Y105" i="1"/>
  <c r="BE105" i="1"/>
  <c r="B106" i="1"/>
  <c r="C106" i="1"/>
  <c r="G106" i="1"/>
  <c r="N106" i="1"/>
  <c r="T106" i="1"/>
  <c r="Y106" i="1"/>
  <c r="B108" i="1"/>
  <c r="A58" i="2" s="1"/>
  <c r="C108" i="1"/>
  <c r="G108" i="1"/>
  <c r="N108" i="1"/>
  <c r="T108" i="1"/>
  <c r="Y108" i="1"/>
  <c r="BE108" i="1"/>
  <c r="B109" i="1"/>
  <c r="C109" i="1"/>
  <c r="G109" i="1"/>
  <c r="N109" i="1"/>
  <c r="T109" i="1"/>
  <c r="Y109" i="1"/>
  <c r="BE109" i="1"/>
  <c r="B107" i="1"/>
  <c r="A57" i="2" s="1"/>
  <c r="C107" i="1"/>
  <c r="G107" i="1"/>
  <c r="N107" i="1"/>
  <c r="T107" i="1"/>
  <c r="Y107" i="1"/>
  <c r="BE107" i="1"/>
  <c r="B110" i="1"/>
  <c r="C110" i="1"/>
  <c r="G110" i="1"/>
  <c r="N110" i="1"/>
  <c r="T110" i="1"/>
  <c r="Y110" i="1"/>
  <c r="BE110" i="1"/>
  <c r="B111" i="1"/>
  <c r="N111" i="1"/>
  <c r="T111" i="1"/>
  <c r="Y111" i="1"/>
  <c r="BE111" i="1"/>
  <c r="B112" i="1"/>
  <c r="N112" i="1"/>
  <c r="T112" i="1"/>
  <c r="Y112" i="1"/>
  <c r="BE112" i="1"/>
  <c r="B113" i="1"/>
  <c r="N113" i="1"/>
  <c r="T113" i="1"/>
  <c r="Y113" i="1"/>
  <c r="B114" i="1"/>
  <c r="N114" i="1"/>
  <c r="Y114" i="1"/>
  <c r="B115" i="1"/>
  <c r="G115" i="1"/>
  <c r="N115" i="1"/>
  <c r="T115" i="1"/>
  <c r="Y115" i="1"/>
  <c r="BE115" i="1"/>
  <c r="B116" i="1"/>
  <c r="G116" i="1"/>
  <c r="N116" i="1"/>
  <c r="T116" i="1"/>
  <c r="Y116" i="1"/>
  <c r="BE116" i="1"/>
  <c r="A1" i="2"/>
  <c r="B2" i="2"/>
  <c r="C2" i="2"/>
  <c r="D2" i="2"/>
  <c r="B3" i="2"/>
  <c r="C3" i="2"/>
  <c r="D3" i="2"/>
  <c r="B4" i="2"/>
  <c r="C4" i="2"/>
  <c r="D4" i="2"/>
  <c r="B5" i="2"/>
  <c r="C5" i="2"/>
  <c r="D5" i="2"/>
  <c r="B6" i="2"/>
  <c r="C6" i="2"/>
  <c r="D6" i="2"/>
  <c r="B7" i="2"/>
  <c r="C7" i="2"/>
  <c r="D7" i="2"/>
  <c r="B8" i="2"/>
  <c r="C8" i="2"/>
  <c r="D8" i="2"/>
  <c r="B9" i="2"/>
  <c r="C9" i="2"/>
  <c r="D9" i="2"/>
  <c r="B10" i="2"/>
  <c r="C10" i="2"/>
  <c r="D10" i="2"/>
  <c r="B11" i="2"/>
  <c r="C11" i="2"/>
  <c r="D11" i="2"/>
  <c r="B12" i="2"/>
  <c r="C12" i="2"/>
  <c r="D12" i="2"/>
  <c r="B13" i="2"/>
  <c r="C13" i="2"/>
  <c r="D13" i="2"/>
  <c r="B14" i="2"/>
  <c r="C14" i="2"/>
  <c r="D14" i="2"/>
  <c r="B15" i="2"/>
  <c r="C15" i="2"/>
  <c r="D15" i="2"/>
  <c r="B16" i="2"/>
  <c r="C16" i="2"/>
  <c r="D16" i="2"/>
  <c r="B17" i="2"/>
  <c r="C17" i="2"/>
  <c r="D17" i="2"/>
  <c r="B18" i="2"/>
  <c r="C18" i="2"/>
  <c r="D18" i="2"/>
  <c r="B19" i="2"/>
  <c r="C19" i="2"/>
  <c r="D19" i="2"/>
  <c r="B20" i="2"/>
  <c r="C20" i="2"/>
  <c r="D20" i="2"/>
  <c r="B21" i="2"/>
  <c r="C21" i="2"/>
  <c r="D21" i="2"/>
  <c r="B22" i="2"/>
  <c r="C22" i="2"/>
  <c r="D22" i="2"/>
  <c r="B23" i="2"/>
  <c r="C23" i="2"/>
  <c r="D23" i="2"/>
  <c r="B26" i="2"/>
  <c r="C26" i="2"/>
  <c r="D26" i="2"/>
  <c r="B27" i="2"/>
  <c r="C27" i="2"/>
  <c r="D27" i="2"/>
  <c r="B28" i="2"/>
  <c r="C28" i="2"/>
  <c r="D28" i="2"/>
  <c r="B29" i="2"/>
  <c r="C29" i="2"/>
  <c r="D29" i="2"/>
  <c r="B30" i="2"/>
  <c r="C30" i="2"/>
  <c r="D30" i="2"/>
  <c r="A31" i="2"/>
  <c r="B31" i="2"/>
  <c r="C31" i="2"/>
  <c r="D31" i="2"/>
  <c r="B32" i="2"/>
  <c r="C32" i="2"/>
  <c r="D32" i="2"/>
  <c r="B33" i="2"/>
  <c r="C33" i="2"/>
  <c r="D33" i="2"/>
  <c r="B34" i="2"/>
  <c r="C34" i="2"/>
  <c r="D34" i="2"/>
  <c r="B35" i="2"/>
  <c r="C35" i="2"/>
  <c r="D35" i="2"/>
  <c r="B36" i="2"/>
  <c r="C36" i="2"/>
  <c r="D36" i="2"/>
  <c r="B37" i="2"/>
  <c r="C37" i="2"/>
  <c r="D37" i="2"/>
  <c r="B38" i="2"/>
  <c r="C38" i="2"/>
  <c r="D38" i="2"/>
  <c r="B39" i="2"/>
  <c r="C39" i="2"/>
  <c r="D39" i="2"/>
  <c r="A38" i="2"/>
  <c r="B40" i="2"/>
  <c r="C40" i="2"/>
  <c r="D40" i="2"/>
  <c r="B41" i="2"/>
  <c r="C41" i="2"/>
  <c r="D41" i="2"/>
  <c r="B42" i="2"/>
  <c r="C42" i="2"/>
  <c r="D42" i="2"/>
  <c r="B43" i="2"/>
  <c r="C43" i="2"/>
  <c r="D43" i="2"/>
  <c r="B44" i="2"/>
  <c r="C44" i="2"/>
  <c r="D44" i="2"/>
  <c r="B45" i="2"/>
  <c r="C45" i="2"/>
  <c r="D45" i="2"/>
  <c r="A20" i="2"/>
  <c r="B46" i="2"/>
  <c r="C46" i="2"/>
  <c r="D46" i="2"/>
  <c r="B47" i="2"/>
  <c r="C47" i="2"/>
  <c r="D47" i="2"/>
  <c r="B48" i="2"/>
  <c r="C48" i="2"/>
  <c r="D48" i="2"/>
  <c r="B49" i="2"/>
  <c r="C49" i="2"/>
  <c r="D49" i="2"/>
  <c r="B50" i="2"/>
  <c r="C50" i="2"/>
  <c r="D50" i="2"/>
  <c r="B51" i="2"/>
  <c r="C51" i="2"/>
  <c r="D51" i="2"/>
  <c r="B52" i="2"/>
  <c r="C52" i="2"/>
  <c r="D52" i="2"/>
  <c r="B53" i="2"/>
  <c r="C53" i="2"/>
  <c r="D53" i="2"/>
  <c r="B54" i="2"/>
  <c r="C54" i="2"/>
  <c r="D54" i="2"/>
  <c r="B55" i="2"/>
  <c r="C55" i="2"/>
  <c r="D55" i="2"/>
  <c r="B56" i="2"/>
  <c r="C56" i="2"/>
  <c r="D56" i="2"/>
  <c r="B57" i="2"/>
  <c r="C57" i="2"/>
  <c r="D57" i="2"/>
  <c r="B58" i="2"/>
  <c r="C58" i="2"/>
  <c r="D58" i="2"/>
  <c r="A34" i="2"/>
  <c r="A12" i="2"/>
  <c r="A54" i="2"/>
  <c r="A5" i="2"/>
  <c r="A16" i="2" l="1"/>
  <c r="A14" i="2"/>
  <c r="A19" i="2"/>
  <c r="A23" i="2"/>
  <c r="A41" i="2"/>
  <c r="A35" i="2"/>
  <c r="A44" i="2"/>
  <c r="A22" i="2"/>
  <c r="A15" i="2"/>
  <c r="A52" i="2"/>
  <c r="A17" i="2"/>
  <c r="A13" i="2"/>
  <c r="A11" i="2"/>
  <c r="A55" i="2"/>
  <c r="A29" i="2"/>
  <c r="A28" i="2"/>
  <c r="A47" i="2"/>
  <c r="A3" i="2"/>
  <c r="A45" i="2"/>
  <c r="A43" i="2"/>
  <c r="A32" i="2"/>
  <c r="A37" i="2"/>
  <c r="A36" i="2"/>
  <c r="A48" i="2"/>
  <c r="A30" i="2"/>
  <c r="A4" i="2"/>
  <c r="A49" i="2"/>
  <c r="A42" i="2"/>
  <c r="A26" i="2"/>
  <c r="A21" i="2"/>
  <c r="A18" i="2"/>
  <c r="A27" i="2"/>
  <c r="A6" i="2"/>
  <c r="A7" i="2"/>
  <c r="A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 G. Todd</author>
    <author>OwgDskAdmin</author>
    <author>William J. Cramer</author>
  </authors>
  <commentList>
    <comment ref="Z1" authorId="0" shapeId="0" xr:uid="{00000000-0006-0000-0000-000001000000}">
      <text>
        <r>
          <rPr>
            <b/>
            <sz val="8"/>
            <color indexed="81"/>
            <rFont val="Tahoma"/>
            <family val="2"/>
          </rPr>
          <t xml:space="preserve">sgt: 
</t>
        </r>
        <r>
          <rPr>
            <sz val="8"/>
            <color indexed="81"/>
            <rFont val="Tahoma"/>
            <family val="2"/>
          </rPr>
          <t>was Scan_Period 1 (sec)
per 5nov09 telecon</t>
        </r>
      </text>
    </comment>
    <comment ref="AA1" authorId="0" shapeId="0" xr:uid="{00000000-0006-0000-0000-000002000000}">
      <text>
        <r>
          <rPr>
            <b/>
            <sz val="8"/>
            <color indexed="81"/>
            <rFont val="Tahoma"/>
            <family val="2"/>
          </rPr>
          <t xml:space="preserve">sgt: 
</t>
        </r>
        <r>
          <rPr>
            <sz val="8"/>
            <color indexed="81"/>
            <rFont val="Tahoma"/>
            <family val="2"/>
          </rPr>
          <t>was Scan_Period 2 (sec),
per 5nov09 telecon</t>
        </r>
      </text>
    </comment>
    <comment ref="AC1" authorId="1" shapeId="0" xr:uid="{00000000-0006-0000-0000-000003000000}">
      <text>
        <r>
          <rPr>
            <sz val="8"/>
            <color indexed="81"/>
            <rFont val="Tahoma"/>
            <family val="2"/>
          </rPr>
          <t>Unit is msec</t>
        </r>
      </text>
    </comment>
    <comment ref="AD1" authorId="1" shapeId="0" xr:uid="{00000000-0006-0000-0000-000004000000}">
      <text>
        <r>
          <rPr>
            <sz val="8"/>
            <color indexed="81"/>
            <rFont val="Tahoma"/>
            <family val="2"/>
          </rPr>
          <t>Angle in degrees over which the antenna sweeps in azimuth. This width does not include 1/2BW. Note that this can exceed 360° (e.g., Helicals).</t>
        </r>
      </text>
    </comment>
    <comment ref="AE1" authorId="1" shapeId="0" xr:uid="{00000000-0006-0000-0000-000005000000}">
      <text>
        <r>
          <rPr>
            <sz val="8"/>
            <color indexed="81"/>
            <rFont val="Tahoma"/>
            <family val="2"/>
          </rPr>
          <t xml:space="preserve">This is the speed in deg/msec that the antenna sweeps across the azimuth sector. It is often the az sector/Scan Period, but it may differ if 1) it's a bi-directional scan [factor of 2] or 2) antenna slows/accelerates across the az width. </t>
        </r>
      </text>
    </comment>
    <comment ref="AF1" authorId="1" shapeId="0" xr:uid="{00000000-0006-0000-0000-000006000000}">
      <text>
        <r>
          <rPr>
            <sz val="8"/>
            <color indexed="81"/>
            <rFont val="Tahoma"/>
            <family val="2"/>
          </rPr>
          <t>Unit is msec. For mechanical scans, this field is zero. For electronic scans, this is the illumination time, in msec, of the on/off transmission. For Steady scans, this field is traditionally set to 9999 (not required to be set anymore, since the Scan Type defines the mode's scan).</t>
        </r>
      </text>
    </comment>
    <comment ref="AG1" authorId="1" shapeId="0" xr:uid="{00000000-0006-0000-0000-000007000000}">
      <text>
        <r>
          <rPr>
            <sz val="8"/>
            <color indexed="81"/>
            <rFont val="Tahoma"/>
            <family val="2"/>
          </rPr>
          <t>This is the minimum Azimuth Beamwidth of the mode in degrees.</t>
        </r>
      </text>
    </comment>
    <comment ref="AH1" authorId="1" shapeId="0" xr:uid="{00000000-0006-0000-0000-000008000000}">
      <text>
        <r>
          <rPr>
            <sz val="8"/>
            <color indexed="81"/>
            <rFont val="Tahoma"/>
            <family val="2"/>
          </rPr>
          <t>This is the minimum Elevation Beamwidth of the mode in degrees.</t>
        </r>
      </text>
    </comment>
    <comment ref="AI1" authorId="1" shapeId="0" xr:uid="{00000000-0006-0000-0000-000009000000}">
      <text>
        <r>
          <rPr>
            <sz val="8"/>
            <color indexed="81"/>
            <rFont val="Tahoma"/>
            <family val="2"/>
          </rPr>
          <t>This defines the spacing in degrees between azimuth 'bars' of azimuth rasters or 3-D electronic scans.</t>
        </r>
      </text>
    </comment>
    <comment ref="AJ1" authorId="1" shapeId="0" xr:uid="{00000000-0006-0000-0000-00000A000000}">
      <text>
        <r>
          <rPr>
            <sz val="8"/>
            <color indexed="81"/>
            <rFont val="Tahoma"/>
            <family val="2"/>
          </rPr>
          <t>This defines the number of azimuth 'bars' of azimuth rasters or 3-D electronic scans.</t>
        </r>
      </text>
    </comment>
    <comment ref="AK1" authorId="1" shapeId="0" xr:uid="{00000000-0006-0000-0000-00000B000000}">
      <text>
        <r>
          <rPr>
            <sz val="8"/>
            <color indexed="81"/>
            <rFont val="Tahoma"/>
            <family val="2"/>
          </rPr>
          <t>This field represents the maximum instantaneous transmission bandwidth of the signal in MHz. It is intended to define the bandwidth of the data transmission, so the bandwidth of an RF agile transmission can be better matched. This includes FMOP, chirp bandwidths, as well as pulse-to-pulse agility bandwidths. This field is not currently used.</t>
        </r>
      </text>
    </comment>
    <comment ref="AM1" authorId="1" shapeId="0" xr:uid="{00000000-0006-0000-0000-00000C000000}">
      <text>
        <r>
          <rPr>
            <sz val="8"/>
            <color indexed="81"/>
            <rFont val="Tahoma"/>
            <family val="2"/>
          </rPr>
          <t>Peak antenna gain of the signal, in dB. Usually, selecting the higher gain if there is a range penalizes the detection of major and sidelobes.</t>
        </r>
      </text>
    </comment>
    <comment ref="AN1" authorId="1" shapeId="0" xr:uid="{00000000-0006-0000-0000-00000D000000}">
      <text>
        <r>
          <rPr>
            <sz val="8"/>
            <color indexed="81"/>
            <rFont val="Tahoma"/>
            <family val="2"/>
          </rPr>
          <t>This is the amplitude down from MB of the first major sidelobe, in  dB, if defined; zero if not.  Usually set to the average of the 1st sidelobe range, but there are many exceptions.</t>
        </r>
      </text>
    </comment>
    <comment ref="AO1" authorId="1" shapeId="0" xr:uid="{00000000-0006-0000-0000-00000E000000}">
      <text>
        <r>
          <rPr>
            <sz val="8"/>
            <color indexed="81"/>
            <rFont val="Tahoma"/>
            <family val="2"/>
          </rPr>
          <t>This is the azimuth offset from mainbeam of the first sidelobe in degrees, if defined; zero if not.  Usually set to the average of the 1st position range, but there are many exceptions. Need to watch for inconsistencies between the specified lobe positions and the mainbeam beamwidth; sometimes they overlap!</t>
        </r>
      </text>
    </comment>
    <comment ref="AP1" authorId="1" shapeId="0" xr:uid="{00000000-0006-0000-0000-00000F000000}">
      <text>
        <r>
          <rPr>
            <sz val="8"/>
            <color indexed="81"/>
            <rFont val="Tahoma"/>
            <family val="2"/>
          </rPr>
          <t>This is the amplitude down from MB of the 2nd major sidelobe, in dB, if defined; zero if not.  Usually set to the average of the 2nd sidelobe range, but there are many exceptions.</t>
        </r>
      </text>
    </comment>
    <comment ref="AQ1" authorId="1" shapeId="0" xr:uid="{00000000-0006-0000-0000-000010000000}">
      <text>
        <r>
          <rPr>
            <sz val="8"/>
            <color indexed="81"/>
            <rFont val="Tahoma"/>
            <family val="2"/>
          </rPr>
          <t>This is the azimuth offset from mainbeam of the first sidelobe in degrees, if defined; zero if not.  Usually set to the average of the 2nd position range, but there are many exceptions. Need to watch for inconsistencies between the specified lobe positions and the mainbeam beamwidth; sometimes they overlap!</t>
        </r>
      </text>
    </comment>
    <comment ref="AR1" authorId="1" shapeId="0" xr:uid="{00000000-0006-0000-0000-000011000000}">
      <text>
        <r>
          <rPr>
            <sz val="8"/>
            <color indexed="81"/>
            <rFont val="Tahoma"/>
            <family val="2"/>
          </rPr>
          <t>This defines the number of elevation 'bars' of elevation rasters or 3-D electronic scans.</t>
        </r>
      </text>
    </comment>
    <comment ref="AS1" authorId="1" shapeId="0" xr:uid="{00000000-0006-0000-0000-000012000000}">
      <text>
        <r>
          <rPr>
            <sz val="8"/>
            <color indexed="81"/>
            <rFont val="Tahoma"/>
            <family val="2"/>
          </rPr>
          <t xml:space="preserve">Angle in degrees over which the antenna sweeps in elevation. This width does not include 1/2BW. </t>
        </r>
      </text>
    </comment>
    <comment ref="AT1" authorId="1" shapeId="0" xr:uid="{00000000-0006-0000-0000-000013000000}">
      <text>
        <r>
          <rPr>
            <sz val="8"/>
            <color indexed="81"/>
            <rFont val="Tahoma"/>
            <family val="2"/>
          </rPr>
          <t>This is the speed in deg/msec that the antenna sweeps across the elevation sector. It is often the El sector/Scan Period, but it may differ if 1) it's a bi-directional scan [factor of 2], or 2) antenna slows/accelerates across the El width.</t>
        </r>
      </text>
    </comment>
    <comment ref="AU1" authorId="1" shapeId="0" xr:uid="{00000000-0006-0000-0000-000014000000}">
      <text>
        <r>
          <rPr>
            <sz val="8"/>
            <color indexed="81"/>
            <rFont val="Tahoma"/>
            <family val="2"/>
          </rPr>
          <t>This is the elevation off set from mainbeam of the first sidelobe in degrees, if defined; zero if not.  Usually set to the average of the 1st position range, but there are many exceptions. Need to watch for inconsistencies between the specified lobe positions and the mainbeam beamwidth; sometimes they overlap!</t>
        </r>
      </text>
    </comment>
    <comment ref="AV1" authorId="1" shapeId="0" xr:uid="{00000000-0006-0000-0000-000015000000}">
      <text>
        <r>
          <rPr>
            <sz val="8"/>
            <color indexed="81"/>
            <rFont val="Tahoma"/>
            <family val="2"/>
          </rPr>
          <t>This is the elevation off set from mainbeam of the first sidelobe in degrees, if defined; zero if not.  Usually set to the average of the 2nd position range, but there are many exceptions. Need to watch for inconsistencies between the specified lobe positions and the mainbeam beamwidth; sometimes they overlap!</t>
        </r>
      </text>
    </comment>
    <comment ref="AW1" authorId="1" shapeId="0" xr:uid="{00000000-0006-0000-0000-000016000000}">
      <text>
        <r>
          <rPr>
            <sz val="8"/>
            <color indexed="81"/>
            <rFont val="Tahoma"/>
            <family val="2"/>
          </rPr>
          <t xml:space="preserve">This is the antenna polarization of the transmit antenna. It is used to establish the power loss due to the polarization mis-match between transmit and receive antennas. There are several codes:_x000D_
· 1 = Vertical_x000D_
· 2 = Horizontal with X-pol _x000D_
· 3 = Right Hand Circular_x000D_
· 4 = Left Hand circular_x000D_
· 5 = Horizontal without X-pol_x000D_
· 6 = Vertical without X-pol_x000D_
The 'without X-pol' options are selected if it is known that the transmit antenna design specifically suppresses cross polarization in the side/backlobes. Normally, this is not the case, so codes 5 &amp; 6 are rarely used. </t>
        </r>
      </text>
    </comment>
    <comment ref="AX1" authorId="1" shapeId="0" xr:uid="{00000000-0006-0000-0000-000017000000}">
      <text>
        <r>
          <rPr>
            <sz val="8"/>
            <color indexed="81"/>
            <rFont val="Tahoma"/>
            <family val="2"/>
          </rPr>
          <t>This is a flag which indicates if the mode is airborne (1), or not (0). This difference to the processing is that the signal is assumed to have centered the platform in its scan, and the affects of closing velocity may be taken into account, depending on the selected scan rule. It has been set for some ground-based signals to force centering on occasion.</t>
        </r>
      </text>
    </comment>
    <comment ref="AY1" authorId="1" shapeId="0" xr:uid="{00000000-0006-0000-0000-000018000000}">
      <text>
        <r>
          <rPr>
            <sz val="8"/>
            <color indexed="81"/>
            <rFont val="Tahoma"/>
            <family val="2"/>
          </rPr>
          <t>Indicates if a 3-D scanner is forming its row/columns uniformly (square=0), or if they are jostled by half a beamwidth on alternating rows (hex=1).   Default is square (0).</t>
        </r>
      </text>
    </comment>
    <comment ref="AZ1" authorId="1" shapeId="0" xr:uid="{00000000-0006-0000-0000-000019000000}">
      <text>
        <r>
          <rPr>
            <sz val="8"/>
            <color indexed="81"/>
            <rFont val="Tahoma"/>
            <family val="2"/>
          </rPr>
          <t>This field defines the fundamental scan type of the mode:_x000D_
· 0 = Circular/Sector_x000D_
· 1 = Electronic Random Scan_x000D_
· 2 = Electronic Raster, Bidirectional in elevation_x000D_
· 3 = Electronic Raster, Unidirectional in elevation_x000D_
· 4 = Electronic Raster, in azimuth_x000D_
· 5 = Mechanical 'El superimposed on Az' scan_x000D_
· 6 = Mechanical Helical_x000D_
· 7 = Mechanical Raster_x000D_
· 8 = Steady_x000D_
 _x000D_
All scan types are mapped to these 9 classes, a few with some loss of fidelity, particularly those which are not symmetric or particularly periodic. Care is needed for some of these 'unusual' scans; good news is that they often they end up in the Steady pile. Raven decodes the fields it needs based on this code, so what's in the unused fields is technically a 'don't care', but its good practice to use the defaults for maintainability (e.g., 0, 9999, 99999).</t>
        </r>
      </text>
    </comment>
    <comment ref="BA1" authorId="1" shapeId="0" xr:uid="{00000000-0006-0000-0000-00001A000000}">
      <text>
        <r>
          <rPr>
            <sz val="8"/>
            <color indexed="81"/>
            <rFont val="Tahoma"/>
            <family val="2"/>
          </rPr>
          <t>1 = Location Candidate_x000D_
0 = Not a Loc Candidate</t>
        </r>
      </text>
    </comment>
    <comment ref="BB1" authorId="1" shapeId="0" xr:uid="{00000000-0006-0000-0000-00001B000000}">
      <text>
        <r>
          <rPr>
            <sz val="8"/>
            <color indexed="81"/>
            <rFont val="Tahoma"/>
            <family val="2"/>
          </rPr>
          <t>Flag to indicate if the mode is part of a simultaneous multi-beam transmission (1), or not (0). Logic to use this is disabled, but the flag should be set properly regardless.</t>
        </r>
      </text>
    </comment>
    <comment ref="BC1" authorId="1" shapeId="0" xr:uid="{00000000-0006-0000-0000-00001C000000}">
      <text>
        <r>
          <rPr>
            <sz val="8"/>
            <color indexed="81"/>
            <rFont val="Tahoma"/>
            <family val="2"/>
          </rPr>
          <t>Flag to indicate that the mode is RF agile (1), or not (0).  This should be set to true if the signal bandwidth is larger than NB or the signal demonstrates pulse-to-pulse agility. The process will then attempt to limit dwell solutions to bandwidths that can span the frequency range (Rfmin-Rfmax). (This is the logic targeted to Signal BW instead).</t>
        </r>
      </text>
    </comment>
    <comment ref="BF1" authorId="1" shapeId="0" xr:uid="{00000000-0006-0000-0000-00001D000000}">
      <text>
        <r>
          <rPr>
            <sz val="8"/>
            <color indexed="81"/>
            <rFont val="Tahoma"/>
            <family val="2"/>
          </rPr>
          <t>Flag which indicates that the mode scans bi-directionally in azimuth when set to 1.  Default is 0.</t>
        </r>
      </text>
    </comment>
    <comment ref="BG1" authorId="1" shapeId="0" xr:uid="{00000000-0006-0000-0000-00001E000000}">
      <text>
        <r>
          <rPr>
            <sz val="8"/>
            <color indexed="81"/>
            <rFont val="Tahoma"/>
            <family val="2"/>
          </rPr>
          <t>Flag which indicates that the mode scans bi-directionally in elevation when set to 1. Default is 0.</t>
        </r>
      </text>
    </comment>
    <comment ref="BH1" authorId="1" shapeId="0" xr:uid="{00000000-0006-0000-0000-00001F000000}">
      <text>
        <r>
          <rPr>
            <sz val="8"/>
            <color indexed="81"/>
            <rFont val="Tahoma"/>
            <family val="2"/>
          </rPr>
          <t>This is the closing airspeed of AI modes in ft/sec.</t>
        </r>
      </text>
    </comment>
    <comment ref="BX1" authorId="0" shapeId="0" xr:uid="{00000000-0006-0000-0000-000020000000}">
      <text>
        <r>
          <rPr>
            <b/>
            <sz val="8"/>
            <color indexed="81"/>
            <rFont val="Tahoma"/>
            <family val="2"/>
          </rPr>
          <t>sgt:</t>
        </r>
        <r>
          <rPr>
            <sz val="8"/>
            <color indexed="81"/>
            <rFont val="Tahoma"/>
            <family val="2"/>
          </rPr>
          <t xml:space="preserve">
column added</t>
        </r>
      </text>
    </comment>
    <comment ref="BY1" authorId="2" shapeId="0" xr:uid="{00000000-0006-0000-0000-000021000000}">
      <text>
        <r>
          <rPr>
            <b/>
            <sz val="8"/>
            <color indexed="81"/>
            <rFont val="Tahoma"/>
            <family val="2"/>
          </rPr>
          <t>William J. Cramer:</t>
        </r>
        <r>
          <rPr>
            <sz val="8"/>
            <color indexed="81"/>
            <rFont val="Tahoma"/>
            <family val="2"/>
          </rPr>
          <t xml:space="preserve">
Added column.
Rules will be as follows:
For Scanning Type Emitters of Function Search and lower, timing must be within 3 SP.
For Scanning Type Emitters of Function above Search, timing must be within 2 SP.
For Steady scans of Function Track and below, timing must be within 4 seconds.
For Steady scans of Function above Track, timing must be within 2 seconds.</t>
        </r>
      </text>
    </comment>
    <comment ref="BZ1" authorId="2" shapeId="0" xr:uid="{00000000-0006-0000-0000-000022000000}">
      <text>
        <r>
          <rPr>
            <b/>
            <sz val="8"/>
            <color indexed="81"/>
            <rFont val="Tahoma"/>
            <family val="2"/>
          </rPr>
          <t>William J. Cramer:</t>
        </r>
        <r>
          <rPr>
            <sz val="8"/>
            <color indexed="81"/>
            <rFont val="Tahoma"/>
            <family val="2"/>
          </rPr>
          <t xml:space="preserve">
Added column.
Land will be Fixed Site.
Sea will be Slow Moving.
Air will be Fast Moving and require a correct AI Speed populated.
Airbornes will be based on emitters with a provided AI Speed.
Land will be the Z0XX series emitters.
Sea will be the Z1XX series emitters.</t>
        </r>
      </text>
    </comment>
    <comment ref="C2" authorId="2" shapeId="0" xr:uid="{00000000-0006-0000-0000-000023000000}">
      <text>
        <r>
          <rPr>
            <b/>
            <sz val="8"/>
            <color indexed="81"/>
            <rFont val="Tahoma"/>
            <family val="2"/>
          </rPr>
          <t>William J. Cramer:</t>
        </r>
        <r>
          <rPr>
            <sz val="8"/>
            <color indexed="81"/>
            <rFont val="Tahoma"/>
            <family val="2"/>
          </rPr>
          <t xml:space="preserve">
was 5,
per 08feb10 telecon</t>
        </r>
      </text>
    </comment>
    <comment ref="Q2" authorId="0" shapeId="0" xr:uid="{00000000-0006-0000-0000-000024000000}">
      <text>
        <r>
          <rPr>
            <b/>
            <sz val="8"/>
            <color indexed="81"/>
            <rFont val="Tahoma"/>
            <family val="2"/>
          </rPr>
          <t>sgt:</t>
        </r>
        <r>
          <rPr>
            <sz val="8"/>
            <color indexed="81"/>
            <rFont val="Tahoma"/>
            <family val="2"/>
          </rPr>
          <t xml:space="preserve">
was 10Mhz,
per 5nov09 telecon
</t>
        </r>
        <r>
          <rPr>
            <b/>
            <sz val="8"/>
            <color indexed="81"/>
            <rFont val="Tahoma"/>
            <family val="2"/>
          </rPr>
          <t xml:space="preserve">wjc:
</t>
        </r>
        <r>
          <rPr>
            <sz val="8"/>
            <color indexed="81"/>
            <rFont val="Tahoma"/>
            <family val="2"/>
          </rPr>
          <t>was 250msec,
per 5nov09 telecon</t>
        </r>
      </text>
    </comment>
    <comment ref="C3" authorId="2" shapeId="0" xr:uid="{00000000-0006-0000-0000-000025000000}">
      <text>
        <r>
          <rPr>
            <b/>
            <sz val="8"/>
            <color indexed="81"/>
            <rFont val="Tahoma"/>
            <family val="2"/>
          </rPr>
          <t>William J. Cramer:</t>
        </r>
        <r>
          <rPr>
            <sz val="8"/>
            <color indexed="81"/>
            <rFont val="Tahoma"/>
            <family val="2"/>
          </rPr>
          <t xml:space="preserve">
was 5,
per 08feb10 telecon</t>
        </r>
      </text>
    </comment>
    <comment ref="V5" authorId="2" shapeId="0" xr:uid="{00000000-0006-0000-0000-000026000000}">
      <text>
        <r>
          <rPr>
            <b/>
            <sz val="8"/>
            <color indexed="81"/>
            <rFont val="Tahoma"/>
            <family val="2"/>
          </rPr>
          <t>William J. Cramer:</t>
        </r>
        <r>
          <rPr>
            <sz val="8"/>
            <color indexed="81"/>
            <rFont val="Tahoma"/>
            <family val="2"/>
          </rPr>
          <t xml:space="preserve">
Should these be on at the same time, or should F2 be delayed from F1 for ease of CEESIM programming
</t>
        </r>
        <r>
          <rPr>
            <b/>
            <sz val="8"/>
            <color indexed="81"/>
            <rFont val="Tahoma"/>
            <family val="2"/>
          </rPr>
          <t>sgt:</t>
        </r>
        <r>
          <rPr>
            <sz val="8"/>
            <color indexed="81"/>
            <rFont val="Tahoma"/>
            <family val="2"/>
          </rPr>
          <t xml:space="preserve">
pulses will be on at the same time</t>
        </r>
      </text>
    </comment>
    <comment ref="S6" authorId="2" shapeId="0" xr:uid="{00000000-0006-0000-0000-000027000000}">
      <text>
        <r>
          <rPr>
            <b/>
            <sz val="8"/>
            <color indexed="81"/>
            <rFont val="Tahoma"/>
            <family val="2"/>
          </rPr>
          <t>William J. Cramer:</t>
        </r>
        <r>
          <rPr>
            <sz val="8"/>
            <color indexed="81"/>
            <rFont val="Tahoma"/>
            <family val="2"/>
          </rPr>
          <t xml:space="preserve">
PRI_Max was 50, but was inconsistent with dwell switch levels specified</t>
        </r>
      </text>
    </comment>
    <comment ref="Z6" authorId="0" shapeId="0" xr:uid="{00000000-0006-0000-0000-000028000000}">
      <text>
        <r>
          <rPr>
            <b/>
            <sz val="8"/>
            <color indexed="81"/>
            <rFont val="Tahoma"/>
            <family val="2"/>
          </rPr>
          <t>sgt:</t>
        </r>
        <r>
          <rPr>
            <sz val="8"/>
            <color indexed="81"/>
            <rFont val="Tahoma"/>
            <family val="2"/>
          </rPr>
          <t xml:space="preserve">
was 2</t>
        </r>
      </text>
    </comment>
    <comment ref="AA6" authorId="0" shapeId="0" xr:uid="{00000000-0006-0000-0000-000029000000}">
      <text>
        <r>
          <rPr>
            <b/>
            <sz val="8"/>
            <color indexed="81"/>
            <rFont val="Tahoma"/>
            <family val="2"/>
          </rPr>
          <t>sgt:</t>
        </r>
        <r>
          <rPr>
            <sz val="8"/>
            <color indexed="81"/>
            <rFont val="Tahoma"/>
            <family val="2"/>
          </rPr>
          <t xml:space="preserve">
was 2</t>
        </r>
      </text>
    </comment>
    <comment ref="AB6" authorId="2" shapeId="0" xr:uid="{00000000-0006-0000-0000-00002A000000}">
      <text>
        <r>
          <rPr>
            <b/>
            <sz val="8"/>
            <color indexed="81"/>
            <rFont val="Tahoma"/>
            <family val="2"/>
          </rPr>
          <t>William J. Cramer:</t>
        </r>
        <r>
          <rPr>
            <sz val="8"/>
            <color indexed="81"/>
            <rFont val="Tahoma"/>
            <family val="2"/>
          </rPr>
          <t xml:space="preserve">
was TRACK WHILE SCAN (60 deg 4 bar raster)</t>
        </r>
      </text>
    </comment>
    <comment ref="AC6" authorId="2" shapeId="0" xr:uid="{00000000-0006-0000-0000-00002B000000}">
      <text>
        <r>
          <rPr>
            <b/>
            <sz val="8"/>
            <color indexed="81"/>
            <rFont val="Tahoma"/>
            <family val="2"/>
          </rPr>
          <t>William J. Cramer:</t>
        </r>
        <r>
          <rPr>
            <sz val="8"/>
            <color indexed="81"/>
            <rFont val="Tahoma"/>
            <family val="2"/>
          </rPr>
          <t xml:space="preserve">
Was 0.02 - believed to be typo for flyback time</t>
        </r>
      </text>
    </comment>
    <comment ref="AF6" authorId="2" shapeId="0" xr:uid="{00000000-0006-0000-0000-00002C000000}">
      <text>
        <r>
          <rPr>
            <b/>
            <sz val="8"/>
            <color indexed="81"/>
            <rFont val="Tahoma"/>
            <family val="2"/>
          </rPr>
          <t>William J. Cramer:</t>
        </r>
        <r>
          <rPr>
            <sz val="8"/>
            <color indexed="81"/>
            <rFont val="Tahoma"/>
            <family val="2"/>
          </rPr>
          <t xml:space="preserve">
was blank</t>
        </r>
      </text>
    </comment>
    <comment ref="AI6" authorId="2" shapeId="0" xr:uid="{00000000-0006-0000-0000-00002D000000}">
      <text>
        <r>
          <rPr>
            <b/>
            <sz val="8"/>
            <color indexed="81"/>
            <rFont val="Tahoma"/>
            <family val="2"/>
          </rPr>
          <t>William J. Cramer:</t>
        </r>
        <r>
          <rPr>
            <sz val="8"/>
            <color indexed="81"/>
            <rFont val="Tahoma"/>
            <family val="2"/>
          </rPr>
          <t xml:space="preserve">
was 4</t>
        </r>
      </text>
    </comment>
    <comment ref="AJ6" authorId="0" shapeId="0" xr:uid="{00000000-0006-0000-0000-00002E000000}">
      <text>
        <r>
          <rPr>
            <b/>
            <sz val="8"/>
            <color indexed="81"/>
            <rFont val="Tahoma"/>
            <family val="2"/>
          </rPr>
          <t>sgt:</t>
        </r>
        <r>
          <rPr>
            <sz val="8"/>
            <color indexed="81"/>
            <rFont val="Tahoma"/>
            <family val="2"/>
          </rPr>
          <t xml:space="preserve">
was 20</t>
        </r>
      </text>
    </comment>
    <comment ref="AS6" authorId="0" shapeId="0" xr:uid="{00000000-0006-0000-0000-00002F000000}">
      <text>
        <r>
          <rPr>
            <b/>
            <sz val="8"/>
            <color indexed="81"/>
            <rFont val="Tahoma"/>
            <family val="2"/>
          </rPr>
          <t>sgt:</t>
        </r>
        <r>
          <rPr>
            <sz val="8"/>
            <color indexed="81"/>
            <rFont val="Tahoma"/>
            <family val="2"/>
          </rPr>
          <t xml:space="preserve">
was 3</t>
        </r>
      </text>
    </comment>
    <comment ref="AY6" authorId="2" shapeId="0" xr:uid="{00000000-0006-0000-0000-000030000000}">
      <text>
        <r>
          <rPr>
            <b/>
            <sz val="8"/>
            <color indexed="81"/>
            <rFont val="Tahoma"/>
            <family val="2"/>
          </rPr>
          <t>William J. Cramer:</t>
        </r>
        <r>
          <rPr>
            <sz val="8"/>
            <color indexed="81"/>
            <rFont val="Tahoma"/>
            <family val="2"/>
          </rPr>
          <t xml:space="preserve">
need to know if this was intentionally set to 0</t>
        </r>
      </text>
    </comment>
    <comment ref="AH8" authorId="2" shapeId="0" xr:uid="{00000000-0006-0000-0000-000031000000}">
      <text>
        <r>
          <rPr>
            <b/>
            <sz val="8"/>
            <color indexed="81"/>
            <rFont val="Tahoma"/>
            <family val="2"/>
          </rPr>
          <t>William J. Cramer:</t>
        </r>
        <r>
          <rPr>
            <sz val="8"/>
            <color indexed="81"/>
            <rFont val="Tahoma"/>
            <family val="2"/>
          </rPr>
          <t xml:space="preserve">
was blank</t>
        </r>
      </text>
    </comment>
    <comment ref="AB9" authorId="2" shapeId="0" xr:uid="{00000000-0006-0000-0000-000032000000}">
      <text>
        <r>
          <rPr>
            <b/>
            <sz val="8"/>
            <color indexed="81"/>
            <rFont val="Tahoma"/>
            <family val="2"/>
          </rPr>
          <t>William J. Cramer:</t>
        </r>
        <r>
          <rPr>
            <sz val="8"/>
            <color indexed="81"/>
            <rFont val="Tahoma"/>
            <family val="2"/>
          </rPr>
          <t xml:space="preserve">
was just MECHANICAL_AZIMUTH_BIDIRECTIONAL - bars are situated in azimuth and can scan bidirectionally</t>
        </r>
      </text>
    </comment>
    <comment ref="AI9" authorId="0" shapeId="0" xr:uid="{00000000-0006-0000-0000-000033000000}">
      <text>
        <r>
          <rPr>
            <b/>
            <sz val="8"/>
            <color indexed="81"/>
            <rFont val="Tahoma"/>
            <family val="2"/>
          </rPr>
          <t>sgt:</t>
        </r>
        <r>
          <rPr>
            <sz val="8"/>
            <color indexed="81"/>
            <rFont val="Tahoma"/>
            <family val="2"/>
          </rPr>
          <t xml:space="preserve">
was 5</t>
        </r>
      </text>
    </comment>
    <comment ref="AJ9" authorId="0" shapeId="0" xr:uid="{00000000-0006-0000-0000-000034000000}">
      <text>
        <r>
          <rPr>
            <b/>
            <sz val="8"/>
            <color indexed="81"/>
            <rFont val="Tahoma"/>
            <family val="2"/>
          </rPr>
          <t>sgt:</t>
        </r>
        <r>
          <rPr>
            <sz val="8"/>
            <color indexed="81"/>
            <rFont val="Tahoma"/>
            <family val="2"/>
          </rPr>
          <t xml:space="preserve">
was 24</t>
        </r>
      </text>
    </comment>
    <comment ref="AS9" authorId="2" shapeId="0" xr:uid="{00000000-0006-0000-0000-000035000000}">
      <text>
        <r>
          <rPr>
            <b/>
            <sz val="8"/>
            <color indexed="81"/>
            <rFont val="Tahoma"/>
            <family val="2"/>
          </rPr>
          <t>William J. Cramer:</t>
        </r>
        <r>
          <rPr>
            <sz val="8"/>
            <color indexed="81"/>
            <rFont val="Tahoma"/>
            <family val="2"/>
          </rPr>
          <t xml:space="preserve">
was 21</t>
        </r>
      </text>
    </comment>
    <comment ref="AB10" authorId="2" shapeId="0" xr:uid="{00000000-0006-0000-0000-000036000000}">
      <text>
        <r>
          <rPr>
            <b/>
            <sz val="8"/>
            <color indexed="81"/>
            <rFont val="Tahoma"/>
            <family val="2"/>
          </rPr>
          <t>William J. Cramer:</t>
        </r>
        <r>
          <rPr>
            <sz val="8"/>
            <color indexed="81"/>
            <rFont val="Tahoma"/>
            <family val="2"/>
          </rPr>
          <t xml:space="preserve">
was just MECHANICAL_AZIMUTH_BIDIRECTIONAL - bars are situated in azimuth and can scan bidirectionally</t>
        </r>
      </text>
    </comment>
    <comment ref="AI10" authorId="0" shapeId="0" xr:uid="{00000000-0006-0000-0000-000037000000}">
      <text>
        <r>
          <rPr>
            <b/>
            <sz val="8"/>
            <color indexed="81"/>
            <rFont val="Tahoma"/>
            <family val="2"/>
          </rPr>
          <t>sgt:</t>
        </r>
        <r>
          <rPr>
            <sz val="8"/>
            <color indexed="81"/>
            <rFont val="Tahoma"/>
            <family val="2"/>
          </rPr>
          <t xml:space="preserve">
was 5</t>
        </r>
      </text>
    </comment>
    <comment ref="AJ10" authorId="0" shapeId="0" xr:uid="{00000000-0006-0000-0000-000038000000}">
      <text>
        <r>
          <rPr>
            <b/>
            <sz val="8"/>
            <color indexed="81"/>
            <rFont val="Tahoma"/>
            <family val="2"/>
          </rPr>
          <t>sgt:</t>
        </r>
        <r>
          <rPr>
            <sz val="8"/>
            <color indexed="81"/>
            <rFont val="Tahoma"/>
            <family val="2"/>
          </rPr>
          <t xml:space="preserve">
was 24</t>
        </r>
      </text>
    </comment>
    <comment ref="AS10" authorId="2" shapeId="0" xr:uid="{00000000-0006-0000-0000-000039000000}">
      <text>
        <r>
          <rPr>
            <b/>
            <sz val="8"/>
            <color indexed="81"/>
            <rFont val="Tahoma"/>
            <family val="2"/>
          </rPr>
          <t>William J. Cramer:</t>
        </r>
        <r>
          <rPr>
            <sz val="8"/>
            <color indexed="81"/>
            <rFont val="Tahoma"/>
            <family val="2"/>
          </rPr>
          <t xml:space="preserve">
was 21</t>
        </r>
      </text>
    </comment>
    <comment ref="AB11" authorId="2" shapeId="0" xr:uid="{00000000-0006-0000-0000-00003A000000}">
      <text>
        <r>
          <rPr>
            <b/>
            <sz val="8"/>
            <color indexed="81"/>
            <rFont val="Tahoma"/>
            <family val="2"/>
          </rPr>
          <t>William J. Cramer:</t>
        </r>
        <r>
          <rPr>
            <sz val="8"/>
            <color indexed="81"/>
            <rFont val="Tahoma"/>
            <family val="2"/>
          </rPr>
          <t xml:space="preserve">
was just MECHANICAL_AZIMUTH_UNIDIRECTIONAL</t>
        </r>
      </text>
    </comment>
    <comment ref="AI11" authorId="0" shapeId="0" xr:uid="{00000000-0006-0000-0000-00003B000000}">
      <text>
        <r>
          <rPr>
            <b/>
            <sz val="8"/>
            <color indexed="81"/>
            <rFont val="Tahoma"/>
            <family val="2"/>
          </rPr>
          <t>sgt:</t>
        </r>
        <r>
          <rPr>
            <sz val="8"/>
            <color indexed="81"/>
            <rFont val="Tahoma"/>
            <family val="2"/>
          </rPr>
          <t xml:space="preserve">
was 2</t>
        </r>
      </text>
    </comment>
    <comment ref="AJ11" authorId="0" shapeId="0" xr:uid="{00000000-0006-0000-0000-00003C000000}">
      <text>
        <r>
          <rPr>
            <b/>
            <sz val="8"/>
            <color indexed="81"/>
            <rFont val="Tahoma"/>
            <family val="2"/>
          </rPr>
          <t>sgt:</t>
        </r>
        <r>
          <rPr>
            <sz val="8"/>
            <color indexed="81"/>
            <rFont val="Tahoma"/>
            <family val="2"/>
          </rPr>
          <t xml:space="preserve">
was 180</t>
        </r>
      </text>
    </comment>
    <comment ref="BA11" authorId="2" shapeId="0" xr:uid="{00000000-0006-0000-0000-00003D000000}">
      <text>
        <r>
          <rPr>
            <b/>
            <sz val="8"/>
            <color indexed="81"/>
            <rFont val="Tahoma"/>
            <family val="2"/>
          </rPr>
          <t>William J. Cramer:</t>
        </r>
        <r>
          <rPr>
            <sz val="8"/>
            <color indexed="81"/>
            <rFont val="Tahoma"/>
            <family val="2"/>
          </rPr>
          <t xml:space="preserve">
was blank</t>
        </r>
      </text>
    </comment>
    <comment ref="BF11" authorId="0" shapeId="0" xr:uid="{00000000-0006-0000-0000-00003E000000}">
      <text>
        <r>
          <rPr>
            <b/>
            <sz val="8"/>
            <color indexed="81"/>
            <rFont val="Tahoma"/>
            <family val="2"/>
          </rPr>
          <t>sgt:</t>
        </r>
        <r>
          <rPr>
            <sz val="8"/>
            <color indexed="81"/>
            <rFont val="Tahoma"/>
            <family val="2"/>
          </rPr>
          <t xml:space="preserve">
was blank</t>
        </r>
      </text>
    </comment>
    <comment ref="BG11" authorId="0" shapeId="0" xr:uid="{00000000-0006-0000-0000-00003F000000}">
      <text>
        <r>
          <rPr>
            <b/>
            <sz val="8"/>
            <color indexed="81"/>
            <rFont val="Tahoma"/>
            <family val="2"/>
          </rPr>
          <t>sgt:</t>
        </r>
        <r>
          <rPr>
            <sz val="8"/>
            <color indexed="81"/>
            <rFont val="Tahoma"/>
            <family val="2"/>
          </rPr>
          <t xml:space="preserve">
was blank</t>
        </r>
      </text>
    </comment>
    <comment ref="BH11" authorId="2" shapeId="0" xr:uid="{00000000-0006-0000-0000-000040000000}">
      <text>
        <r>
          <rPr>
            <b/>
            <sz val="8"/>
            <color indexed="81"/>
            <rFont val="Tahoma"/>
            <family val="2"/>
          </rPr>
          <t>William J. Cramer:</t>
        </r>
        <r>
          <rPr>
            <sz val="8"/>
            <color indexed="81"/>
            <rFont val="Tahoma"/>
            <family val="2"/>
          </rPr>
          <t xml:space="preserve">
was blank</t>
        </r>
      </text>
    </comment>
    <comment ref="AB12" authorId="2" shapeId="0" xr:uid="{00000000-0006-0000-0000-000041000000}">
      <text>
        <r>
          <rPr>
            <b/>
            <sz val="8"/>
            <color indexed="81"/>
            <rFont val="Tahoma"/>
            <family val="2"/>
          </rPr>
          <t>William J. Cramer:</t>
        </r>
        <r>
          <rPr>
            <sz val="8"/>
            <color indexed="81"/>
            <rFont val="Tahoma"/>
            <family val="2"/>
          </rPr>
          <t xml:space="preserve">
was just MECHANICAL_AZIMUTH_UNIDIRECTIONAL</t>
        </r>
      </text>
    </comment>
    <comment ref="AI12" authorId="0" shapeId="0" xr:uid="{00000000-0006-0000-0000-000042000000}">
      <text>
        <r>
          <rPr>
            <b/>
            <sz val="8"/>
            <color indexed="81"/>
            <rFont val="Tahoma"/>
            <family val="2"/>
          </rPr>
          <t>sgt:</t>
        </r>
        <r>
          <rPr>
            <sz val="8"/>
            <color indexed="81"/>
            <rFont val="Tahoma"/>
            <family val="2"/>
          </rPr>
          <t xml:space="preserve">
was 2</t>
        </r>
      </text>
    </comment>
    <comment ref="AJ12" authorId="0" shapeId="0" xr:uid="{00000000-0006-0000-0000-000043000000}">
      <text>
        <r>
          <rPr>
            <b/>
            <sz val="8"/>
            <color indexed="81"/>
            <rFont val="Tahoma"/>
            <family val="2"/>
          </rPr>
          <t>sgt:</t>
        </r>
        <r>
          <rPr>
            <sz val="8"/>
            <color indexed="81"/>
            <rFont val="Tahoma"/>
            <family val="2"/>
          </rPr>
          <t xml:space="preserve">
was 180</t>
        </r>
      </text>
    </comment>
    <comment ref="M13" authorId="0" shapeId="0" xr:uid="{00000000-0006-0000-0000-000044000000}">
      <text>
        <r>
          <rPr>
            <b/>
            <sz val="8"/>
            <color indexed="81"/>
            <rFont val="Tahoma"/>
            <family val="2"/>
          </rPr>
          <t>sgt:</t>
        </r>
        <r>
          <rPr>
            <sz val="8"/>
            <color indexed="81"/>
            <rFont val="Tahoma"/>
            <family val="2"/>
          </rPr>
          <t xml:space="preserve">
was 3050</t>
        </r>
      </text>
    </comment>
    <comment ref="P13" authorId="2" shapeId="0" xr:uid="{00000000-0006-0000-0000-000045000000}">
      <text>
        <r>
          <rPr>
            <b/>
            <sz val="8"/>
            <color indexed="81"/>
            <rFont val="Tahoma"/>
            <family val="2"/>
          </rPr>
          <t>William J. Cramer:</t>
        </r>
        <r>
          <rPr>
            <sz val="8"/>
            <color indexed="81"/>
            <rFont val="Tahoma"/>
            <family val="2"/>
          </rPr>
          <t xml:space="preserve">
was STABLE MULTIFREQ, but there was no specification on Mode 1 of simulatenous RF transmission</t>
        </r>
      </text>
    </comment>
    <comment ref="Z13" authorId="2" shapeId="0" xr:uid="{00000000-0006-0000-0000-000046000000}">
      <text>
        <r>
          <rPr>
            <b/>
            <sz val="8"/>
            <color indexed="81"/>
            <rFont val="Tahoma"/>
            <family val="2"/>
          </rPr>
          <t>William J. Cramer:</t>
        </r>
        <r>
          <rPr>
            <sz val="8"/>
            <color indexed="81"/>
            <rFont val="Tahoma"/>
            <family val="2"/>
          </rPr>
          <t xml:space="preserve">
was 10 and 0.0555</t>
        </r>
      </text>
    </comment>
    <comment ref="AA13" authorId="2" shapeId="0" xr:uid="{00000000-0006-0000-0000-000047000000}">
      <text>
        <r>
          <rPr>
            <b/>
            <sz val="8"/>
            <color indexed="81"/>
            <rFont val="Tahoma"/>
            <family val="2"/>
          </rPr>
          <t>William J. Cramer:</t>
        </r>
        <r>
          <rPr>
            <sz val="8"/>
            <color indexed="81"/>
            <rFont val="Tahoma"/>
            <family val="2"/>
          </rPr>
          <t xml:space="preserve">
was 10 and 0.0555</t>
        </r>
      </text>
    </comment>
    <comment ref="AD13" authorId="2" shapeId="0" xr:uid="{00000000-0006-0000-0000-000048000000}">
      <text>
        <r>
          <rPr>
            <b/>
            <sz val="8"/>
            <color indexed="81"/>
            <rFont val="Tahoma"/>
            <family val="2"/>
          </rPr>
          <t>William J. Cramer:</t>
        </r>
        <r>
          <rPr>
            <sz val="8"/>
            <color indexed="81"/>
            <rFont val="Tahoma"/>
            <family val="2"/>
          </rPr>
          <t xml:space="preserve">
was 360</t>
        </r>
      </text>
    </comment>
    <comment ref="AR13" authorId="0" shapeId="0" xr:uid="{00000000-0006-0000-0000-000049000000}">
      <text>
        <r>
          <rPr>
            <b/>
            <sz val="8"/>
            <color indexed="81"/>
            <rFont val="Tahoma"/>
            <family val="2"/>
          </rPr>
          <t>sgt:</t>
        </r>
        <r>
          <rPr>
            <sz val="8"/>
            <color indexed="81"/>
            <rFont val="Tahoma"/>
            <family val="2"/>
          </rPr>
          <t xml:space="preserve">
was 15</t>
        </r>
      </text>
    </comment>
    <comment ref="AS13" authorId="0" shapeId="0" xr:uid="{00000000-0006-0000-0000-00004A000000}">
      <text>
        <r>
          <rPr>
            <b/>
            <sz val="8"/>
            <color indexed="81"/>
            <rFont val="Tahoma"/>
            <family val="2"/>
          </rPr>
          <t>sgt:</t>
        </r>
        <r>
          <rPr>
            <sz val="8"/>
            <color indexed="81"/>
            <rFont val="Tahoma"/>
            <family val="2"/>
          </rPr>
          <t xml:space="preserve">
was 2
</t>
        </r>
        <r>
          <rPr>
            <b/>
            <sz val="8"/>
            <color indexed="81"/>
            <rFont val="Tahoma"/>
            <family val="2"/>
          </rPr>
          <t>wjc:</t>
        </r>
        <r>
          <rPr>
            <sz val="8"/>
            <color indexed="81"/>
            <rFont val="Tahoma"/>
            <family val="2"/>
          </rPr>
          <t xml:space="preserve">
need to define the vertical scan rate.  Estimates for the mechanical nod are at about an 18Hz rate.</t>
        </r>
      </text>
    </comment>
    <comment ref="Q14" authorId="2" shapeId="0" xr:uid="{00000000-0006-0000-0000-00004B000000}">
      <text>
        <r>
          <rPr>
            <b/>
            <sz val="8"/>
            <color indexed="81"/>
            <rFont val="Tahoma"/>
            <family val="2"/>
          </rPr>
          <t>William J. Cramer:</t>
        </r>
        <r>
          <rPr>
            <sz val="8"/>
            <color indexed="81"/>
            <rFont val="Tahoma"/>
            <family val="2"/>
          </rPr>
          <t xml:space="preserve">
was 100msec</t>
        </r>
      </text>
    </comment>
    <comment ref="Z14" authorId="2" shapeId="0" xr:uid="{00000000-0006-0000-0000-00004C000000}">
      <text>
        <r>
          <rPr>
            <b/>
            <sz val="8"/>
            <color indexed="81"/>
            <rFont val="Tahoma"/>
            <family val="2"/>
          </rPr>
          <t>William J. Cramer:</t>
        </r>
        <r>
          <rPr>
            <sz val="8"/>
            <color indexed="81"/>
            <rFont val="Tahoma"/>
            <family val="2"/>
          </rPr>
          <t xml:space="preserve">
was 3</t>
        </r>
      </text>
    </comment>
    <comment ref="AA14" authorId="2" shapeId="0" xr:uid="{00000000-0006-0000-0000-00004D000000}">
      <text>
        <r>
          <rPr>
            <b/>
            <sz val="8"/>
            <color indexed="81"/>
            <rFont val="Tahoma"/>
            <family val="2"/>
          </rPr>
          <t>William J. Cramer:</t>
        </r>
        <r>
          <rPr>
            <sz val="8"/>
            <color indexed="81"/>
            <rFont val="Tahoma"/>
            <family val="2"/>
          </rPr>
          <t xml:space="preserve">
was 3</t>
        </r>
      </text>
    </comment>
    <comment ref="AL14" authorId="0" shapeId="0" xr:uid="{00000000-0006-0000-0000-00004E000000}">
      <text>
        <r>
          <rPr>
            <b/>
            <sz val="8"/>
            <color indexed="81"/>
            <rFont val="Tahoma"/>
            <family val="2"/>
          </rPr>
          <t>sgt:</t>
        </r>
        <r>
          <rPr>
            <sz val="8"/>
            <color indexed="81"/>
            <rFont val="Tahoma"/>
            <family val="2"/>
          </rPr>
          <t xml:space="preserve">
was 80
increased to 95 to get enough power to detect at reasonable look angle</t>
        </r>
      </text>
    </comment>
    <comment ref="AB15" authorId="2" shapeId="0" xr:uid="{00000000-0006-0000-0000-00004F000000}">
      <text>
        <r>
          <rPr>
            <b/>
            <sz val="8"/>
            <color indexed="81"/>
            <rFont val="Tahoma"/>
            <family val="2"/>
          </rPr>
          <t>William J. Cramer:</t>
        </r>
        <r>
          <rPr>
            <sz val="8"/>
            <color indexed="81"/>
            <rFont val="Tahoma"/>
            <family val="2"/>
          </rPr>
          <t xml:space="preserve">
was just MECHANICAL_AZIMUTH_UNIDIRECTIONAL</t>
        </r>
      </text>
    </comment>
    <comment ref="AZ15" authorId="0" shapeId="0" xr:uid="{00000000-0006-0000-0000-000050000000}">
      <text>
        <r>
          <rPr>
            <b/>
            <sz val="8"/>
            <color indexed="81"/>
            <rFont val="Tahoma"/>
            <family val="2"/>
          </rPr>
          <t>sgt:</t>
        </r>
        <r>
          <rPr>
            <sz val="8"/>
            <color indexed="81"/>
            <rFont val="Tahoma"/>
            <family val="2"/>
          </rPr>
          <t xml:space="preserve">
was 8</t>
        </r>
      </text>
    </comment>
    <comment ref="AD16" authorId="0" shapeId="0" xr:uid="{00000000-0006-0000-0000-000051000000}">
      <text>
        <r>
          <rPr>
            <b/>
            <sz val="8"/>
            <color indexed="81"/>
            <rFont val="Tahoma"/>
            <family val="2"/>
          </rPr>
          <t>sgt:</t>
        </r>
        <r>
          <rPr>
            <sz val="8"/>
            <color indexed="81"/>
            <rFont val="Tahoma"/>
            <family val="2"/>
          </rPr>
          <t xml:space="preserve">
was 360</t>
        </r>
      </text>
    </comment>
    <comment ref="AZ16" authorId="0" shapeId="0" xr:uid="{00000000-0006-0000-0000-000052000000}">
      <text>
        <r>
          <rPr>
            <b/>
            <sz val="8"/>
            <color indexed="81"/>
            <rFont val="Tahoma"/>
            <family val="2"/>
          </rPr>
          <t>sgt:</t>
        </r>
        <r>
          <rPr>
            <sz val="8"/>
            <color indexed="81"/>
            <rFont val="Tahoma"/>
            <family val="2"/>
          </rPr>
          <t xml:space="preserve">
was 8</t>
        </r>
      </text>
    </comment>
    <comment ref="Z17" authorId="0" shapeId="0" xr:uid="{00000000-0006-0000-0000-000053000000}">
      <text>
        <r>
          <rPr>
            <b/>
            <sz val="8"/>
            <color indexed="81"/>
            <rFont val="Tahoma"/>
            <family val="2"/>
          </rPr>
          <t>sgt:</t>
        </r>
        <r>
          <rPr>
            <sz val="8"/>
            <color indexed="81"/>
            <rFont val="Tahoma"/>
            <family val="2"/>
          </rPr>
          <t xml:space="preserve">
was 1</t>
        </r>
      </text>
    </comment>
    <comment ref="AA17" authorId="0" shapeId="0" xr:uid="{00000000-0006-0000-0000-000054000000}">
      <text>
        <r>
          <rPr>
            <b/>
            <sz val="8"/>
            <color indexed="81"/>
            <rFont val="Tahoma"/>
            <family val="2"/>
          </rPr>
          <t>sgt:</t>
        </r>
        <r>
          <rPr>
            <sz val="8"/>
            <color indexed="81"/>
            <rFont val="Tahoma"/>
            <family val="2"/>
          </rPr>
          <t xml:space="preserve">
was 1</t>
        </r>
      </text>
    </comment>
    <comment ref="AB17" authorId="0" shapeId="0" xr:uid="{00000000-0006-0000-0000-000055000000}">
      <text>
        <r>
          <rPr>
            <b/>
            <sz val="8"/>
            <color indexed="81"/>
            <rFont val="Tahoma"/>
            <family val="2"/>
          </rPr>
          <t>sgt:</t>
        </r>
        <r>
          <rPr>
            <sz val="8"/>
            <color indexed="81"/>
            <rFont val="Tahoma"/>
            <family val="2"/>
          </rPr>
          <t xml:space="preserve">
was MECHANICAL_AZIMUTH_UNIDIRECTIONAL</t>
        </r>
      </text>
    </comment>
    <comment ref="AD17" authorId="0" shapeId="0" xr:uid="{00000000-0006-0000-0000-000056000000}">
      <text>
        <r>
          <rPr>
            <b/>
            <sz val="8"/>
            <color indexed="81"/>
            <rFont val="Tahoma"/>
            <family val="2"/>
          </rPr>
          <t>sgt:</t>
        </r>
        <r>
          <rPr>
            <sz val="8"/>
            <color indexed="81"/>
            <rFont val="Tahoma"/>
            <family val="2"/>
          </rPr>
          <t xml:space="preserve">
was 360</t>
        </r>
      </text>
    </comment>
    <comment ref="BX17" authorId="2" shapeId="0" xr:uid="{00000000-0006-0000-0000-000057000000}">
      <text>
        <r>
          <rPr>
            <b/>
            <sz val="8"/>
            <color indexed="81"/>
            <rFont val="Tahoma"/>
            <family val="2"/>
          </rPr>
          <t>William J. Cramer:</t>
        </r>
        <r>
          <rPr>
            <sz val="8"/>
            <color indexed="81"/>
            <rFont val="Tahoma"/>
            <family val="2"/>
          </rPr>
          <t xml:space="preserve">
was yes, but changed due to it being a friendly emitter</t>
        </r>
      </text>
    </comment>
    <comment ref="Z18" authorId="0" shapeId="0" xr:uid="{00000000-0006-0000-0000-000058000000}">
      <text>
        <r>
          <rPr>
            <b/>
            <sz val="8"/>
            <color indexed="81"/>
            <rFont val="Tahoma"/>
            <family val="2"/>
          </rPr>
          <t>sgt:</t>
        </r>
        <r>
          <rPr>
            <sz val="8"/>
            <color indexed="81"/>
            <rFont val="Tahoma"/>
            <family val="2"/>
          </rPr>
          <t xml:space="preserve">
was 3</t>
        </r>
      </text>
    </comment>
    <comment ref="AA18" authorId="0" shapeId="0" xr:uid="{00000000-0006-0000-0000-000059000000}">
      <text>
        <r>
          <rPr>
            <b/>
            <sz val="8"/>
            <color indexed="81"/>
            <rFont val="Tahoma"/>
            <family val="2"/>
          </rPr>
          <t>sgt:</t>
        </r>
        <r>
          <rPr>
            <sz val="8"/>
            <color indexed="81"/>
            <rFont val="Tahoma"/>
            <family val="2"/>
          </rPr>
          <t xml:space="preserve">
was 3</t>
        </r>
      </text>
    </comment>
    <comment ref="AB18" authorId="0" shapeId="0" xr:uid="{00000000-0006-0000-0000-00005A000000}">
      <text>
        <r>
          <rPr>
            <b/>
            <sz val="8"/>
            <color indexed="81"/>
            <rFont val="Tahoma"/>
            <family val="2"/>
          </rPr>
          <t>sgt:</t>
        </r>
        <r>
          <rPr>
            <sz val="8"/>
            <color indexed="81"/>
            <rFont val="Tahoma"/>
            <family val="2"/>
          </rPr>
          <t xml:space="preserve">
was RANDOM (120 Az, 60 deg E,
</t>
        </r>
        <r>
          <rPr>
            <b/>
            <sz val="8"/>
            <color indexed="81"/>
            <rFont val="Tahoma"/>
            <family val="2"/>
          </rPr>
          <t>wjc:</t>
        </r>
        <r>
          <rPr>
            <sz val="8"/>
            <color indexed="81"/>
            <rFont val="Tahoma"/>
            <family val="2"/>
          </rPr>
          <t xml:space="preserve">
Note here, we could model this as a random type electronic scan</t>
        </r>
      </text>
    </comment>
    <comment ref="AF18" authorId="0" shapeId="0" xr:uid="{00000000-0006-0000-0000-00005B000000}">
      <text>
        <r>
          <rPr>
            <b/>
            <sz val="8"/>
            <color indexed="81"/>
            <rFont val="Tahoma"/>
            <family val="2"/>
          </rPr>
          <t>sgt:</t>
        </r>
        <r>
          <rPr>
            <sz val="8"/>
            <color indexed="81"/>
            <rFont val="Tahoma"/>
            <family val="2"/>
          </rPr>
          <t xml:space="preserve">
was 12</t>
        </r>
      </text>
    </comment>
    <comment ref="AI18" authorId="0" shapeId="0" xr:uid="{00000000-0006-0000-0000-00005C000000}">
      <text>
        <r>
          <rPr>
            <b/>
            <sz val="8"/>
            <color indexed="81"/>
            <rFont val="Tahoma"/>
            <family val="2"/>
          </rPr>
          <t>sgt:</t>
        </r>
        <r>
          <rPr>
            <sz val="8"/>
            <color indexed="81"/>
            <rFont val="Tahoma"/>
            <family val="2"/>
          </rPr>
          <t xml:space="preserve">
was 10</t>
        </r>
      </text>
    </comment>
    <comment ref="AR18" authorId="0" shapeId="0" xr:uid="{00000000-0006-0000-0000-00005D000000}">
      <text>
        <r>
          <rPr>
            <b/>
            <sz val="8"/>
            <color indexed="81"/>
            <rFont val="Tahoma"/>
            <family val="2"/>
          </rPr>
          <t>sgt:</t>
        </r>
        <r>
          <rPr>
            <sz val="8"/>
            <color indexed="81"/>
            <rFont val="Tahoma"/>
            <family val="2"/>
          </rPr>
          <t xml:space="preserve">
was blank</t>
        </r>
      </text>
    </comment>
    <comment ref="AS18" authorId="0" shapeId="0" xr:uid="{00000000-0006-0000-0000-00005E000000}">
      <text>
        <r>
          <rPr>
            <b/>
            <sz val="8"/>
            <color indexed="81"/>
            <rFont val="Tahoma"/>
            <family val="2"/>
          </rPr>
          <t>sgt:</t>
        </r>
        <r>
          <rPr>
            <sz val="8"/>
            <color indexed="81"/>
            <rFont val="Tahoma"/>
            <family val="2"/>
          </rPr>
          <t xml:space="preserve">
was blank</t>
        </r>
      </text>
    </comment>
    <comment ref="Z19" authorId="0" shapeId="0" xr:uid="{00000000-0006-0000-0000-00005F000000}">
      <text>
        <r>
          <rPr>
            <b/>
            <sz val="8"/>
            <color indexed="81"/>
            <rFont val="Tahoma"/>
            <family val="2"/>
          </rPr>
          <t>sgt:</t>
        </r>
        <r>
          <rPr>
            <sz val="8"/>
            <color indexed="81"/>
            <rFont val="Tahoma"/>
            <family val="2"/>
          </rPr>
          <t xml:space="preserve">
was 3</t>
        </r>
      </text>
    </comment>
    <comment ref="AA19" authorId="0" shapeId="0" xr:uid="{00000000-0006-0000-0000-000060000000}">
      <text>
        <r>
          <rPr>
            <b/>
            <sz val="8"/>
            <color indexed="81"/>
            <rFont val="Tahoma"/>
            <family val="2"/>
          </rPr>
          <t>sgt:</t>
        </r>
        <r>
          <rPr>
            <sz val="8"/>
            <color indexed="81"/>
            <rFont val="Tahoma"/>
            <family val="2"/>
          </rPr>
          <t xml:space="preserve">
was 3</t>
        </r>
      </text>
    </comment>
    <comment ref="AB19" authorId="0" shapeId="0" xr:uid="{00000000-0006-0000-0000-000061000000}">
      <text>
        <r>
          <rPr>
            <b/>
            <sz val="8"/>
            <color indexed="81"/>
            <rFont val="Tahoma"/>
            <family val="2"/>
          </rPr>
          <t>sgt:</t>
        </r>
        <r>
          <rPr>
            <sz val="8"/>
            <color indexed="81"/>
            <rFont val="Tahoma"/>
            <family val="2"/>
          </rPr>
          <t xml:space="preserve">
was RANDOM (120 Az, 60 deg E,
</t>
        </r>
        <r>
          <rPr>
            <b/>
            <sz val="8"/>
            <color indexed="81"/>
            <rFont val="Tahoma"/>
            <family val="2"/>
          </rPr>
          <t>wjc:</t>
        </r>
        <r>
          <rPr>
            <sz val="8"/>
            <color indexed="81"/>
            <rFont val="Tahoma"/>
            <family val="2"/>
          </rPr>
          <t xml:space="preserve">
Note here, we could model this as a random type electronic scan</t>
        </r>
      </text>
    </comment>
    <comment ref="AF19" authorId="0" shapeId="0" xr:uid="{00000000-0006-0000-0000-000062000000}">
      <text>
        <r>
          <rPr>
            <b/>
            <sz val="8"/>
            <color indexed="81"/>
            <rFont val="Tahoma"/>
            <family val="2"/>
          </rPr>
          <t>sgt:</t>
        </r>
        <r>
          <rPr>
            <sz val="8"/>
            <color indexed="81"/>
            <rFont val="Tahoma"/>
            <family val="2"/>
          </rPr>
          <t xml:space="preserve">
was 12</t>
        </r>
      </text>
    </comment>
    <comment ref="AI19" authorId="0" shapeId="0" xr:uid="{00000000-0006-0000-0000-000063000000}">
      <text>
        <r>
          <rPr>
            <b/>
            <sz val="8"/>
            <color indexed="81"/>
            <rFont val="Tahoma"/>
            <family val="2"/>
          </rPr>
          <t>sgt:</t>
        </r>
        <r>
          <rPr>
            <sz val="8"/>
            <color indexed="81"/>
            <rFont val="Tahoma"/>
            <family val="2"/>
          </rPr>
          <t xml:space="preserve">
was 10</t>
        </r>
      </text>
    </comment>
    <comment ref="AR19" authorId="0" shapeId="0" xr:uid="{00000000-0006-0000-0000-000064000000}">
      <text>
        <r>
          <rPr>
            <b/>
            <sz val="8"/>
            <color indexed="81"/>
            <rFont val="Tahoma"/>
            <family val="2"/>
          </rPr>
          <t>sgt:</t>
        </r>
        <r>
          <rPr>
            <sz val="8"/>
            <color indexed="81"/>
            <rFont val="Tahoma"/>
            <family val="2"/>
          </rPr>
          <t xml:space="preserve">
was blank</t>
        </r>
      </text>
    </comment>
    <comment ref="AS19" authorId="0" shapeId="0" xr:uid="{00000000-0006-0000-0000-000065000000}">
      <text>
        <r>
          <rPr>
            <b/>
            <sz val="8"/>
            <color indexed="81"/>
            <rFont val="Tahoma"/>
            <family val="2"/>
          </rPr>
          <t>sgt:</t>
        </r>
        <r>
          <rPr>
            <sz val="8"/>
            <color indexed="81"/>
            <rFont val="Tahoma"/>
            <family val="2"/>
          </rPr>
          <t xml:space="preserve">
was blank</t>
        </r>
      </text>
    </comment>
    <comment ref="R20" authorId="0" shapeId="0" xr:uid="{00000000-0006-0000-0000-000066000000}">
      <text>
        <r>
          <rPr>
            <b/>
            <sz val="8"/>
            <color indexed="81"/>
            <rFont val="Tahoma"/>
            <family val="2"/>
          </rPr>
          <t>sgt:</t>
        </r>
        <r>
          <rPr>
            <sz val="8"/>
            <color indexed="81"/>
            <rFont val="Tahoma"/>
            <family val="2"/>
          </rPr>
          <t xml:space="preserve">
was 10</t>
        </r>
      </text>
    </comment>
    <comment ref="U20" authorId="0" shapeId="0" xr:uid="{00000000-0006-0000-0000-000067000000}">
      <text>
        <r>
          <rPr>
            <b/>
            <sz val="8"/>
            <color indexed="81"/>
            <rFont val="Tahoma"/>
            <family val="2"/>
          </rPr>
          <t>sgt:</t>
        </r>
        <r>
          <rPr>
            <sz val="8"/>
            <color indexed="81"/>
            <rFont val="Tahoma"/>
            <family val="2"/>
          </rPr>
          <t xml:space="preserve">
was AGILE</t>
        </r>
      </text>
    </comment>
    <comment ref="V20" authorId="2" shapeId="0" xr:uid="{00000000-0006-0000-0000-000068000000}">
      <text>
        <r>
          <rPr>
            <b/>
            <sz val="8"/>
            <color indexed="81"/>
            <rFont val="Tahoma"/>
            <family val="2"/>
          </rPr>
          <t>William J. Cramer:</t>
        </r>
        <r>
          <rPr>
            <sz val="8"/>
            <color indexed="81"/>
            <rFont val="Tahoma"/>
            <family val="2"/>
          </rPr>
          <t xml:space="preserve">
What is the spacing between the doublets and are the doublet PW's the same as this mode?</t>
        </r>
      </text>
    </comment>
    <comment ref="AD21" authorId="2" shapeId="0" xr:uid="{00000000-0006-0000-0000-000069000000}">
      <text>
        <r>
          <rPr>
            <b/>
            <sz val="8"/>
            <color indexed="81"/>
            <rFont val="Tahoma"/>
            <family val="2"/>
          </rPr>
          <t>William J. Cramer:</t>
        </r>
        <r>
          <rPr>
            <sz val="8"/>
            <color indexed="81"/>
            <rFont val="Tahoma"/>
            <family val="2"/>
          </rPr>
          <t xml:space="preserve">
was 0</t>
        </r>
      </text>
    </comment>
    <comment ref="AR21" authorId="2" shapeId="0" xr:uid="{00000000-0006-0000-0000-00006A000000}">
      <text>
        <r>
          <rPr>
            <b/>
            <sz val="8"/>
            <color indexed="81"/>
            <rFont val="Tahoma"/>
            <family val="2"/>
          </rPr>
          <t>William J. Cramer:</t>
        </r>
        <r>
          <rPr>
            <sz val="8"/>
            <color indexed="81"/>
            <rFont val="Tahoma"/>
            <family val="2"/>
          </rPr>
          <t xml:space="preserve">
was 10</t>
        </r>
      </text>
    </comment>
    <comment ref="AS21" authorId="2" shapeId="0" xr:uid="{00000000-0006-0000-0000-00006B000000}">
      <text>
        <r>
          <rPr>
            <b/>
            <sz val="8"/>
            <color indexed="81"/>
            <rFont val="Tahoma"/>
            <family val="2"/>
          </rPr>
          <t>William J. Cramer:</t>
        </r>
        <r>
          <rPr>
            <sz val="8"/>
            <color indexed="81"/>
            <rFont val="Tahoma"/>
            <family val="2"/>
          </rPr>
          <t xml:space="preserve">
was 3</t>
        </r>
      </text>
    </comment>
    <comment ref="AZ21" authorId="0" shapeId="0" xr:uid="{00000000-0006-0000-0000-00006C000000}">
      <text>
        <r>
          <rPr>
            <b/>
            <sz val="8"/>
            <color indexed="81"/>
            <rFont val="Tahoma"/>
            <family val="2"/>
          </rPr>
          <t>sgt:</t>
        </r>
        <r>
          <rPr>
            <sz val="8"/>
            <color indexed="81"/>
            <rFont val="Tahoma"/>
            <family val="2"/>
          </rPr>
          <t xml:space="preserve">
was 7</t>
        </r>
      </text>
    </comment>
    <comment ref="U22" authorId="0" shapeId="0" xr:uid="{00000000-0006-0000-0000-00006D000000}">
      <text>
        <r>
          <rPr>
            <b/>
            <sz val="8"/>
            <color indexed="81"/>
            <rFont val="Tahoma"/>
            <family val="2"/>
          </rPr>
          <t>sgt:</t>
        </r>
        <r>
          <rPr>
            <sz val="8"/>
            <color indexed="81"/>
            <rFont val="Tahoma"/>
            <family val="2"/>
          </rPr>
          <t xml:space="preserve">
was AGILE (Triplets)</t>
        </r>
      </text>
    </comment>
    <comment ref="V22" authorId="2" shapeId="0" xr:uid="{00000000-0006-0000-0000-00006E000000}">
      <text>
        <r>
          <rPr>
            <b/>
            <sz val="8"/>
            <color indexed="81"/>
            <rFont val="Tahoma"/>
            <family val="2"/>
          </rPr>
          <t>William J. Cramer:</t>
        </r>
        <r>
          <rPr>
            <sz val="8"/>
            <color indexed="81"/>
            <rFont val="Tahoma"/>
            <family val="2"/>
          </rPr>
          <t xml:space="preserve">
Triplets need to be defined - are they the same PW as this mode and what is the spacing?
</t>
        </r>
        <r>
          <rPr>
            <b/>
            <sz val="8"/>
            <color indexed="81"/>
            <rFont val="Tahoma"/>
            <family val="2"/>
          </rPr>
          <t>Sgt:</t>
        </r>
        <r>
          <rPr>
            <sz val="8"/>
            <color indexed="81"/>
            <rFont val="Tahoma"/>
            <family val="2"/>
          </rPr>
          <t xml:space="preserve">
comments added</t>
        </r>
      </text>
    </comment>
    <comment ref="AD22" authorId="0" shapeId="0" xr:uid="{00000000-0006-0000-0000-00006F000000}">
      <text>
        <r>
          <rPr>
            <b/>
            <sz val="8"/>
            <color indexed="81"/>
            <rFont val="Tahoma"/>
            <family val="2"/>
          </rPr>
          <t>sgt:</t>
        </r>
        <r>
          <rPr>
            <sz val="8"/>
            <color indexed="81"/>
            <rFont val="Tahoma"/>
            <family val="2"/>
          </rPr>
          <t xml:space="preserve">
was 60</t>
        </r>
      </text>
    </comment>
    <comment ref="AL22" authorId="0" shapeId="0" xr:uid="{00000000-0006-0000-0000-000070000000}">
      <text>
        <r>
          <rPr>
            <b/>
            <sz val="8"/>
            <color indexed="81"/>
            <rFont val="Tahoma"/>
            <family val="2"/>
          </rPr>
          <t>sgt:</t>
        </r>
        <r>
          <rPr>
            <sz val="8"/>
            <color indexed="81"/>
            <rFont val="Tahoma"/>
            <family val="2"/>
          </rPr>
          <t xml:space="preserve">
was 90
increased to 104 to get comparable power for co-located emitters</t>
        </r>
      </text>
    </comment>
    <comment ref="AD23" authorId="0" shapeId="0" xr:uid="{00000000-0006-0000-0000-000071000000}">
      <text>
        <r>
          <rPr>
            <b/>
            <sz val="8"/>
            <color indexed="81"/>
            <rFont val="Tahoma"/>
            <family val="2"/>
          </rPr>
          <t>sgt:</t>
        </r>
        <r>
          <rPr>
            <sz val="8"/>
            <color indexed="81"/>
            <rFont val="Tahoma"/>
            <family val="2"/>
          </rPr>
          <t xml:space="preserve">
was 60</t>
        </r>
      </text>
    </comment>
    <comment ref="AL23" authorId="0" shapeId="0" xr:uid="{00000000-0006-0000-0000-000072000000}">
      <text>
        <r>
          <rPr>
            <b/>
            <sz val="8"/>
            <color indexed="81"/>
            <rFont val="Tahoma"/>
            <family val="2"/>
          </rPr>
          <t>sgt:</t>
        </r>
        <r>
          <rPr>
            <sz val="8"/>
            <color indexed="81"/>
            <rFont val="Tahoma"/>
            <family val="2"/>
          </rPr>
          <t xml:space="preserve">
was 100
increased to 105 to get comparable power for co-located emitters</t>
        </r>
      </text>
    </comment>
    <comment ref="Q24" authorId="2" shapeId="0" xr:uid="{00000000-0006-0000-0000-000073000000}">
      <text>
        <r>
          <rPr>
            <b/>
            <sz val="8"/>
            <color indexed="81"/>
            <rFont val="Tahoma"/>
            <family val="2"/>
          </rPr>
          <t>William J. Cramer:</t>
        </r>
        <r>
          <rPr>
            <sz val="8"/>
            <color indexed="81"/>
            <rFont val="Tahoma"/>
            <family val="2"/>
          </rPr>
          <t xml:space="preserve">
max pulse to pulse RF change is 200MHz</t>
        </r>
      </text>
    </comment>
    <comment ref="AB24" authorId="2" shapeId="0" xr:uid="{00000000-0006-0000-0000-000074000000}">
      <text>
        <r>
          <rPr>
            <b/>
            <sz val="8"/>
            <color indexed="81"/>
            <rFont val="Tahoma"/>
            <family val="2"/>
          </rPr>
          <t>William J. Cramer:</t>
        </r>
        <r>
          <rPr>
            <sz val="8"/>
            <color indexed="81"/>
            <rFont val="Tahoma"/>
            <family val="2"/>
          </rPr>
          <t xml:space="preserve">
was just MECHANICAL_AZIMUTH_UNIDIRECTIONAL</t>
        </r>
      </text>
    </comment>
    <comment ref="AD24" authorId="0" shapeId="0" xr:uid="{00000000-0006-0000-0000-000075000000}">
      <text>
        <r>
          <rPr>
            <b/>
            <sz val="8"/>
            <color indexed="81"/>
            <rFont val="Tahoma"/>
            <family val="2"/>
          </rPr>
          <t>sgt:</t>
        </r>
        <r>
          <rPr>
            <sz val="8"/>
            <color indexed="81"/>
            <rFont val="Tahoma"/>
            <family val="2"/>
          </rPr>
          <t xml:space="preserve">
was 0</t>
        </r>
      </text>
    </comment>
    <comment ref="AZ24" authorId="0" shapeId="0" xr:uid="{00000000-0006-0000-0000-000076000000}">
      <text>
        <r>
          <rPr>
            <b/>
            <sz val="8"/>
            <color indexed="81"/>
            <rFont val="Tahoma"/>
            <family val="2"/>
          </rPr>
          <t>sgt:</t>
        </r>
        <r>
          <rPr>
            <sz val="8"/>
            <color indexed="81"/>
            <rFont val="Tahoma"/>
            <family val="2"/>
          </rPr>
          <t xml:space="preserve">
was 8</t>
        </r>
      </text>
    </comment>
    <comment ref="Q25" authorId="2" shapeId="0" xr:uid="{00000000-0006-0000-0000-000077000000}">
      <text>
        <r>
          <rPr>
            <b/>
            <sz val="8"/>
            <color indexed="81"/>
            <rFont val="Tahoma"/>
            <family val="2"/>
          </rPr>
          <t>William J. Cramer:</t>
        </r>
        <r>
          <rPr>
            <sz val="8"/>
            <color indexed="81"/>
            <rFont val="Tahoma"/>
            <family val="2"/>
          </rPr>
          <t xml:space="preserve">
max pulse-to-pulse change is 200MHz</t>
        </r>
      </text>
    </comment>
    <comment ref="S25" authorId="2" shapeId="0" xr:uid="{00000000-0006-0000-0000-000078000000}">
      <text>
        <r>
          <rPr>
            <b/>
            <sz val="8"/>
            <color indexed="81"/>
            <rFont val="Tahoma"/>
            <family val="2"/>
          </rPr>
          <t>William J. Cramer:</t>
        </r>
        <r>
          <rPr>
            <sz val="8"/>
            <color indexed="81"/>
            <rFont val="Tahoma"/>
            <family val="2"/>
          </rPr>
          <t xml:space="preserve">
was 250</t>
        </r>
      </text>
    </comment>
    <comment ref="Z25" authorId="0" shapeId="0" xr:uid="{00000000-0006-0000-0000-000079000000}">
      <text>
        <r>
          <rPr>
            <b/>
            <sz val="8"/>
            <color indexed="81"/>
            <rFont val="Tahoma"/>
            <family val="2"/>
          </rPr>
          <t>sgt:</t>
        </r>
        <r>
          <rPr>
            <sz val="8"/>
            <color indexed="81"/>
            <rFont val="Tahoma"/>
            <family val="2"/>
          </rPr>
          <t xml:space="preserve">
was 15</t>
        </r>
      </text>
    </comment>
    <comment ref="AA25" authorId="0" shapeId="0" xr:uid="{00000000-0006-0000-0000-00007A000000}">
      <text>
        <r>
          <rPr>
            <b/>
            <sz val="8"/>
            <color indexed="81"/>
            <rFont val="Tahoma"/>
            <family val="2"/>
          </rPr>
          <t>sgt:</t>
        </r>
        <r>
          <rPr>
            <sz val="8"/>
            <color indexed="81"/>
            <rFont val="Tahoma"/>
            <family val="2"/>
          </rPr>
          <t xml:space="preserve">
was 15</t>
        </r>
      </text>
    </comment>
    <comment ref="AF25" authorId="2" shapeId="0" xr:uid="{00000000-0006-0000-0000-00007B000000}">
      <text>
        <r>
          <rPr>
            <b/>
            <sz val="8"/>
            <color indexed="81"/>
            <rFont val="Tahoma"/>
            <family val="2"/>
          </rPr>
          <t>William J. Cramer:</t>
        </r>
        <r>
          <rPr>
            <sz val="8"/>
            <color indexed="81"/>
            <rFont val="Tahoma"/>
            <family val="2"/>
          </rPr>
          <t xml:space="preserve">
was 0</t>
        </r>
      </text>
    </comment>
    <comment ref="AS25" authorId="0" shapeId="0" xr:uid="{00000000-0006-0000-0000-00007C000000}">
      <text>
        <r>
          <rPr>
            <b/>
            <sz val="8"/>
            <color indexed="81"/>
            <rFont val="Tahoma"/>
            <family val="2"/>
          </rPr>
          <t>sgt:</t>
        </r>
        <r>
          <rPr>
            <sz val="8"/>
            <color indexed="81"/>
            <rFont val="Tahoma"/>
            <family val="2"/>
          </rPr>
          <t xml:space="preserve">
was 5</t>
        </r>
      </text>
    </comment>
    <comment ref="BF25" authorId="2" shapeId="0" xr:uid="{00000000-0006-0000-0000-00007D000000}">
      <text>
        <r>
          <rPr>
            <b/>
            <sz val="8"/>
            <color indexed="81"/>
            <rFont val="Tahoma"/>
            <family val="2"/>
          </rPr>
          <t>William J. Cramer:</t>
        </r>
        <r>
          <rPr>
            <sz val="8"/>
            <color indexed="81"/>
            <rFont val="Tahoma"/>
            <family val="2"/>
          </rPr>
          <t xml:space="preserve">
was 1</t>
        </r>
      </text>
    </comment>
    <comment ref="BG25" authorId="2" shapeId="0" xr:uid="{00000000-0006-0000-0000-00007E000000}">
      <text>
        <r>
          <rPr>
            <b/>
            <sz val="8"/>
            <color indexed="81"/>
            <rFont val="Tahoma"/>
            <family val="2"/>
          </rPr>
          <t>William J. Cramer:</t>
        </r>
        <r>
          <rPr>
            <sz val="8"/>
            <color indexed="81"/>
            <rFont val="Tahoma"/>
            <family val="2"/>
          </rPr>
          <t xml:space="preserve">
was 0</t>
        </r>
      </text>
    </comment>
    <comment ref="AB26" authorId="2" shapeId="0" xr:uid="{00000000-0006-0000-0000-00007F000000}">
      <text>
        <r>
          <rPr>
            <b/>
            <sz val="8"/>
            <color indexed="81"/>
            <rFont val="Tahoma"/>
            <family val="2"/>
          </rPr>
          <t>William J. Cramer:</t>
        </r>
        <r>
          <rPr>
            <sz val="8"/>
            <color indexed="81"/>
            <rFont val="Tahoma"/>
            <family val="2"/>
          </rPr>
          <t xml:space="preserve">
was just MECHANICAL_AZIMUTH_UNIDIRECTIONAL</t>
        </r>
      </text>
    </comment>
    <comment ref="AD26" authorId="2" shapeId="0" xr:uid="{00000000-0006-0000-0000-000080000000}">
      <text>
        <r>
          <rPr>
            <b/>
            <sz val="8"/>
            <color indexed="81"/>
            <rFont val="Tahoma"/>
            <family val="2"/>
          </rPr>
          <t>William J. Cramer:</t>
        </r>
        <r>
          <rPr>
            <sz val="8"/>
            <color indexed="81"/>
            <rFont val="Tahoma"/>
            <family val="2"/>
          </rPr>
          <t xml:space="preserve">
was 0</t>
        </r>
      </text>
    </comment>
    <comment ref="R27" authorId="2" shapeId="0" xr:uid="{00000000-0006-0000-0000-000081000000}">
      <text>
        <r>
          <rPr>
            <b/>
            <sz val="8"/>
            <color indexed="81"/>
            <rFont val="Tahoma"/>
            <family val="2"/>
          </rPr>
          <t>William J. Cramer:</t>
        </r>
        <r>
          <rPr>
            <sz val="8"/>
            <color indexed="81"/>
            <rFont val="Tahoma"/>
            <family val="2"/>
          </rPr>
          <t xml:space="preserve">
was 100</t>
        </r>
      </text>
    </comment>
    <comment ref="S27" authorId="2" shapeId="0" xr:uid="{00000000-0006-0000-0000-000082000000}">
      <text>
        <r>
          <rPr>
            <b/>
            <sz val="8"/>
            <color indexed="81"/>
            <rFont val="Tahoma"/>
            <family val="2"/>
          </rPr>
          <t>William J. Cramer:</t>
        </r>
        <r>
          <rPr>
            <sz val="8"/>
            <color indexed="81"/>
            <rFont val="Tahoma"/>
            <family val="2"/>
          </rPr>
          <t xml:space="preserve">
was 200</t>
        </r>
      </text>
    </comment>
    <comment ref="AB27" authorId="2" shapeId="0" xr:uid="{00000000-0006-0000-0000-000083000000}">
      <text>
        <r>
          <rPr>
            <b/>
            <sz val="8"/>
            <color indexed="81"/>
            <rFont val="Tahoma"/>
            <family val="2"/>
          </rPr>
          <t>William J. Cramer:</t>
        </r>
        <r>
          <rPr>
            <sz val="8"/>
            <color indexed="81"/>
            <rFont val="Tahoma"/>
            <family val="2"/>
          </rPr>
          <t xml:space="preserve">
was just MECHANICAL_AZIMUTH_UNIDIRECTIONAL</t>
        </r>
      </text>
    </comment>
    <comment ref="AD27" authorId="2" shapeId="0" xr:uid="{00000000-0006-0000-0000-000084000000}">
      <text>
        <r>
          <rPr>
            <b/>
            <sz val="8"/>
            <color indexed="81"/>
            <rFont val="Tahoma"/>
            <family val="2"/>
          </rPr>
          <t>William J. Cramer:</t>
        </r>
        <r>
          <rPr>
            <sz val="8"/>
            <color indexed="81"/>
            <rFont val="Tahoma"/>
            <family val="2"/>
          </rPr>
          <t xml:space="preserve">
was 0</t>
        </r>
      </text>
    </comment>
    <comment ref="L28" authorId="2" shapeId="0" xr:uid="{00000000-0006-0000-0000-000085000000}">
      <text>
        <r>
          <rPr>
            <b/>
            <sz val="8"/>
            <color indexed="81"/>
            <rFont val="Tahoma"/>
            <family val="2"/>
          </rPr>
          <t>William J. Cramer:</t>
        </r>
        <r>
          <rPr>
            <sz val="8"/>
            <color indexed="81"/>
            <rFont val="Tahoma"/>
            <family val="2"/>
          </rPr>
          <t xml:space="preserve">
was 14500</t>
        </r>
      </text>
    </comment>
    <comment ref="M28" authorId="2" shapeId="0" xr:uid="{00000000-0006-0000-0000-000086000000}">
      <text>
        <r>
          <rPr>
            <b/>
            <sz val="8"/>
            <color indexed="81"/>
            <rFont val="Tahoma"/>
            <family val="2"/>
          </rPr>
          <t>William J. Cramer:</t>
        </r>
        <r>
          <rPr>
            <sz val="8"/>
            <color indexed="81"/>
            <rFont val="Tahoma"/>
            <family val="2"/>
          </rPr>
          <t xml:space="preserve">
was 14750</t>
        </r>
      </text>
    </comment>
    <comment ref="AL28" authorId="0" shapeId="0" xr:uid="{00000000-0006-0000-0000-000087000000}">
      <text>
        <r>
          <rPr>
            <b/>
            <sz val="8"/>
            <color indexed="81"/>
            <rFont val="Tahoma"/>
            <family val="2"/>
          </rPr>
          <t>sgt:</t>
        </r>
        <r>
          <rPr>
            <sz val="8"/>
            <color indexed="81"/>
            <rFont val="Tahoma"/>
            <family val="2"/>
          </rPr>
          <t xml:space="preserve">
was 100
increased to 115 to get comparable power for co-located emitters</t>
        </r>
      </text>
    </comment>
    <comment ref="R29" authorId="0" shapeId="0" xr:uid="{00000000-0006-0000-0000-000088000000}">
      <text>
        <r>
          <rPr>
            <b/>
            <sz val="8"/>
            <color indexed="81"/>
            <rFont val="Tahoma"/>
            <family val="2"/>
          </rPr>
          <t>Steven G. Todd:</t>
        </r>
        <r>
          <rPr>
            <sz val="8"/>
            <color indexed="81"/>
            <rFont val="Tahoma"/>
            <family val="2"/>
          </rPr>
          <t xml:space="preserve">
was 1650
per 5nov09 telecon</t>
        </r>
      </text>
    </comment>
    <comment ref="V29" authorId="0" shapeId="0" xr:uid="{00000000-0006-0000-0000-000089000000}">
      <text>
        <r>
          <rPr>
            <b/>
            <sz val="8"/>
            <color indexed="81"/>
            <rFont val="Tahoma"/>
            <family val="2"/>
          </rPr>
          <t>sgt:</t>
        </r>
        <r>
          <rPr>
            <sz val="8"/>
            <color indexed="81"/>
            <rFont val="Tahoma"/>
            <family val="2"/>
          </rPr>
          <t xml:space="preserve">
was 5</t>
        </r>
      </text>
    </comment>
    <comment ref="Z29" authorId="0" shapeId="0" xr:uid="{00000000-0006-0000-0000-00008A000000}">
      <text>
        <r>
          <rPr>
            <b/>
            <sz val="8"/>
            <color indexed="81"/>
            <rFont val="Tahoma"/>
            <family val="2"/>
          </rPr>
          <t>sgt:</t>
        </r>
        <r>
          <rPr>
            <sz val="8"/>
            <color indexed="81"/>
            <rFont val="Tahoma"/>
            <family val="2"/>
          </rPr>
          <t xml:space="preserve">
was 50</t>
        </r>
      </text>
    </comment>
    <comment ref="AA29" authorId="0" shapeId="0" xr:uid="{00000000-0006-0000-0000-00008B000000}">
      <text>
        <r>
          <rPr>
            <b/>
            <sz val="8"/>
            <color indexed="81"/>
            <rFont val="Tahoma"/>
            <family val="2"/>
          </rPr>
          <t>sgt:</t>
        </r>
        <r>
          <rPr>
            <sz val="8"/>
            <color indexed="81"/>
            <rFont val="Tahoma"/>
            <family val="2"/>
          </rPr>
          <t xml:space="preserve">
was 60</t>
        </r>
      </text>
    </comment>
    <comment ref="AB29" authorId="0" shapeId="0" xr:uid="{00000000-0006-0000-0000-00008C000000}">
      <text>
        <r>
          <rPr>
            <b/>
            <sz val="8"/>
            <color indexed="81"/>
            <rFont val="Tahoma"/>
            <family val="2"/>
          </rPr>
          <t>sgt:</t>
        </r>
        <r>
          <rPr>
            <sz val="8"/>
            <color indexed="81"/>
            <rFont val="Tahoma"/>
            <family val="2"/>
          </rPr>
          <t xml:space="preserve">
was ELECTRICAL_AZIMUTH_UNIDIRECTION</t>
        </r>
      </text>
    </comment>
    <comment ref="AH29" authorId="0" shapeId="0" xr:uid="{00000000-0006-0000-0000-00008D000000}">
      <text>
        <r>
          <rPr>
            <b/>
            <sz val="8"/>
            <color indexed="81"/>
            <rFont val="Tahoma"/>
            <family val="2"/>
          </rPr>
          <t>sgt:</t>
        </r>
        <r>
          <rPr>
            <sz val="8"/>
            <color indexed="81"/>
            <rFont val="Tahoma"/>
            <family val="2"/>
          </rPr>
          <t xml:space="preserve">
was 5</t>
        </r>
      </text>
    </comment>
    <comment ref="AL29" authorId="0" shapeId="0" xr:uid="{00000000-0006-0000-0000-00008E000000}">
      <text>
        <r>
          <rPr>
            <b/>
            <sz val="8"/>
            <color indexed="81"/>
            <rFont val="Tahoma"/>
            <family val="2"/>
          </rPr>
          <t>sgt:</t>
        </r>
        <r>
          <rPr>
            <sz val="8"/>
            <color indexed="81"/>
            <rFont val="Tahoma"/>
            <family val="2"/>
          </rPr>
          <t xml:space="preserve">
was 80
increased to 90 to get reasonable power at expected look angles</t>
        </r>
      </text>
    </comment>
    <comment ref="AS29" authorId="0" shapeId="0" xr:uid="{00000000-0006-0000-0000-00008F000000}">
      <text>
        <r>
          <rPr>
            <b/>
            <sz val="8"/>
            <color indexed="81"/>
            <rFont val="Tahoma"/>
            <family val="2"/>
          </rPr>
          <t>sgt:</t>
        </r>
        <r>
          <rPr>
            <sz val="8"/>
            <color indexed="81"/>
            <rFont val="Tahoma"/>
            <family val="2"/>
          </rPr>
          <t xml:space="preserve">
was 0</t>
        </r>
      </text>
    </comment>
    <comment ref="BE29" authorId="2" shapeId="0" xr:uid="{00000000-0006-0000-0000-000090000000}">
      <text>
        <r>
          <rPr>
            <b/>
            <sz val="8"/>
            <color indexed="81"/>
            <rFont val="Tahoma"/>
            <family val="2"/>
          </rPr>
          <t>William J. Cramer:</t>
        </r>
        <r>
          <rPr>
            <sz val="8"/>
            <color indexed="81"/>
            <rFont val="Tahoma"/>
            <family val="2"/>
          </rPr>
          <t xml:space="preserve">
was 0</t>
        </r>
      </text>
    </comment>
    <comment ref="R30" authorId="2" shapeId="0" xr:uid="{00000000-0006-0000-0000-000091000000}">
      <text>
        <r>
          <rPr>
            <b/>
            <sz val="8"/>
            <color indexed="81"/>
            <rFont val="Tahoma"/>
            <family val="2"/>
          </rPr>
          <t>William J. Cramer:</t>
        </r>
        <r>
          <rPr>
            <sz val="8"/>
            <color indexed="81"/>
            <rFont val="Tahoma"/>
            <family val="2"/>
          </rPr>
          <t xml:space="preserve">
was 1900</t>
        </r>
      </text>
    </comment>
    <comment ref="Z30" authorId="0" shapeId="0" xr:uid="{00000000-0006-0000-0000-000092000000}">
      <text>
        <r>
          <rPr>
            <b/>
            <sz val="8"/>
            <color indexed="81"/>
            <rFont val="Tahoma"/>
            <family val="2"/>
          </rPr>
          <t>sgt:</t>
        </r>
        <r>
          <rPr>
            <sz val="8"/>
            <color indexed="81"/>
            <rFont val="Tahoma"/>
            <family val="2"/>
          </rPr>
          <t xml:space="preserve">
was 50</t>
        </r>
      </text>
    </comment>
    <comment ref="AA30" authorId="0" shapeId="0" xr:uid="{00000000-0006-0000-0000-000093000000}">
      <text>
        <r>
          <rPr>
            <b/>
            <sz val="8"/>
            <color indexed="81"/>
            <rFont val="Tahoma"/>
            <family val="2"/>
          </rPr>
          <t>sgt:</t>
        </r>
        <r>
          <rPr>
            <sz val="8"/>
            <color indexed="81"/>
            <rFont val="Tahoma"/>
            <family val="2"/>
          </rPr>
          <t xml:space="preserve">
was 60</t>
        </r>
      </text>
    </comment>
    <comment ref="AB30" authorId="0" shapeId="0" xr:uid="{00000000-0006-0000-0000-000094000000}">
      <text>
        <r>
          <rPr>
            <b/>
            <sz val="8"/>
            <color indexed="81"/>
            <rFont val="Tahoma"/>
            <family val="2"/>
          </rPr>
          <t>sgt:</t>
        </r>
        <r>
          <rPr>
            <sz val="8"/>
            <color indexed="81"/>
            <rFont val="Tahoma"/>
            <family val="2"/>
          </rPr>
          <t xml:space="preserve">
was ELECTRICAL_AZIMUTH_UNIDIRECTION</t>
        </r>
      </text>
    </comment>
    <comment ref="AH30" authorId="0" shapeId="0" xr:uid="{00000000-0006-0000-0000-000095000000}">
      <text>
        <r>
          <rPr>
            <b/>
            <sz val="8"/>
            <color indexed="81"/>
            <rFont val="Tahoma"/>
            <family val="2"/>
          </rPr>
          <t>Steven G. Todd:</t>
        </r>
        <r>
          <rPr>
            <sz val="8"/>
            <color indexed="81"/>
            <rFont val="Tahoma"/>
            <family val="2"/>
          </rPr>
          <t xml:space="preserve">
was 5</t>
        </r>
      </text>
    </comment>
    <comment ref="AL30" authorId="0" shapeId="0" xr:uid="{00000000-0006-0000-0000-000096000000}">
      <text>
        <r>
          <rPr>
            <b/>
            <sz val="8"/>
            <color indexed="81"/>
            <rFont val="Tahoma"/>
            <family val="2"/>
          </rPr>
          <t>sgt:</t>
        </r>
        <r>
          <rPr>
            <sz val="8"/>
            <color indexed="81"/>
            <rFont val="Tahoma"/>
            <family val="2"/>
          </rPr>
          <t xml:space="preserve">
was 80
increased to 90 to get reasonable power at expected look angles</t>
        </r>
      </text>
    </comment>
    <comment ref="AS30" authorId="0" shapeId="0" xr:uid="{00000000-0006-0000-0000-000097000000}">
      <text>
        <r>
          <rPr>
            <b/>
            <sz val="8"/>
            <color indexed="81"/>
            <rFont val="Tahoma"/>
            <family val="2"/>
          </rPr>
          <t>sgt:</t>
        </r>
        <r>
          <rPr>
            <sz val="8"/>
            <color indexed="81"/>
            <rFont val="Tahoma"/>
            <family val="2"/>
          </rPr>
          <t xml:space="preserve">
was 0</t>
        </r>
      </text>
    </comment>
    <comment ref="BE30" authorId="2" shapeId="0" xr:uid="{00000000-0006-0000-0000-000098000000}">
      <text>
        <r>
          <rPr>
            <b/>
            <sz val="8"/>
            <color indexed="81"/>
            <rFont val="Tahoma"/>
            <family val="2"/>
          </rPr>
          <t>William J. Cramer:</t>
        </r>
        <r>
          <rPr>
            <sz val="8"/>
            <color indexed="81"/>
            <rFont val="Tahoma"/>
            <family val="2"/>
          </rPr>
          <t xml:space="preserve">
was 0</t>
        </r>
      </text>
    </comment>
    <comment ref="S31" authorId="2" shapeId="0" xr:uid="{00000000-0006-0000-0000-000099000000}">
      <text>
        <r>
          <rPr>
            <b/>
            <sz val="8"/>
            <color indexed="81"/>
            <rFont val="Tahoma"/>
            <family val="2"/>
          </rPr>
          <t>William J. Cramer:</t>
        </r>
        <r>
          <rPr>
            <sz val="8"/>
            <color indexed="81"/>
            <rFont val="Tahoma"/>
            <family val="2"/>
          </rPr>
          <t xml:space="preserve">
was 3000</t>
        </r>
      </text>
    </comment>
    <comment ref="Z31" authorId="0" shapeId="0" xr:uid="{00000000-0006-0000-0000-00009A000000}">
      <text>
        <r>
          <rPr>
            <b/>
            <sz val="8"/>
            <color indexed="81"/>
            <rFont val="Tahoma"/>
            <family val="2"/>
          </rPr>
          <t>sgt:</t>
        </r>
        <r>
          <rPr>
            <sz val="8"/>
            <color indexed="81"/>
            <rFont val="Tahoma"/>
            <family val="2"/>
          </rPr>
          <t xml:space="preserve">
was 50</t>
        </r>
      </text>
    </comment>
    <comment ref="AA31" authorId="0" shapeId="0" xr:uid="{00000000-0006-0000-0000-00009B000000}">
      <text>
        <r>
          <rPr>
            <b/>
            <sz val="8"/>
            <color indexed="81"/>
            <rFont val="Tahoma"/>
            <family val="2"/>
          </rPr>
          <t>sgt:</t>
        </r>
        <r>
          <rPr>
            <sz val="8"/>
            <color indexed="81"/>
            <rFont val="Tahoma"/>
            <family val="2"/>
          </rPr>
          <t xml:space="preserve">
was 60</t>
        </r>
      </text>
    </comment>
    <comment ref="AB31" authorId="0" shapeId="0" xr:uid="{00000000-0006-0000-0000-00009C000000}">
      <text>
        <r>
          <rPr>
            <b/>
            <sz val="8"/>
            <color indexed="81"/>
            <rFont val="Tahoma"/>
            <family val="2"/>
          </rPr>
          <t>sgt:</t>
        </r>
        <r>
          <rPr>
            <sz val="8"/>
            <color indexed="81"/>
            <rFont val="Tahoma"/>
            <family val="2"/>
          </rPr>
          <t xml:space="preserve">
was ELECTRICAL_AZIMUTH_UNIDIRECTION</t>
        </r>
      </text>
    </comment>
    <comment ref="AH31" authorId="0" shapeId="0" xr:uid="{00000000-0006-0000-0000-00009D000000}">
      <text>
        <r>
          <rPr>
            <b/>
            <sz val="8"/>
            <color indexed="81"/>
            <rFont val="Tahoma"/>
            <family val="2"/>
          </rPr>
          <t>sgt:</t>
        </r>
        <r>
          <rPr>
            <sz val="8"/>
            <color indexed="81"/>
            <rFont val="Tahoma"/>
            <family val="2"/>
          </rPr>
          <t xml:space="preserve">
was 5</t>
        </r>
      </text>
    </comment>
    <comment ref="AL31" authorId="0" shapeId="0" xr:uid="{00000000-0006-0000-0000-00009E000000}">
      <text>
        <r>
          <rPr>
            <b/>
            <sz val="8"/>
            <color indexed="81"/>
            <rFont val="Tahoma"/>
            <family val="2"/>
          </rPr>
          <t>sgt:</t>
        </r>
        <r>
          <rPr>
            <sz val="8"/>
            <color indexed="81"/>
            <rFont val="Tahoma"/>
            <family val="2"/>
          </rPr>
          <t xml:space="preserve">
was 80
increased to 90 to get reasonable power at expected look angles</t>
        </r>
      </text>
    </comment>
    <comment ref="AS31" authorId="0" shapeId="0" xr:uid="{00000000-0006-0000-0000-00009F000000}">
      <text>
        <r>
          <rPr>
            <b/>
            <sz val="8"/>
            <color indexed="81"/>
            <rFont val="Tahoma"/>
            <family val="2"/>
          </rPr>
          <t>sgt:</t>
        </r>
        <r>
          <rPr>
            <sz val="8"/>
            <color indexed="81"/>
            <rFont val="Tahoma"/>
            <family val="2"/>
          </rPr>
          <t xml:space="preserve">
was 0</t>
        </r>
      </text>
    </comment>
    <comment ref="BE31" authorId="2" shapeId="0" xr:uid="{00000000-0006-0000-0000-0000A0000000}">
      <text>
        <r>
          <rPr>
            <b/>
            <sz val="8"/>
            <color indexed="81"/>
            <rFont val="Tahoma"/>
            <family val="2"/>
          </rPr>
          <t>William J. Cramer:</t>
        </r>
        <r>
          <rPr>
            <sz val="8"/>
            <color indexed="81"/>
            <rFont val="Tahoma"/>
            <family val="2"/>
          </rPr>
          <t xml:space="preserve">
was 0</t>
        </r>
      </text>
    </comment>
    <comment ref="R32" authorId="0" shapeId="0" xr:uid="{00000000-0006-0000-0000-0000A1000000}">
      <text>
        <r>
          <rPr>
            <b/>
            <sz val="8"/>
            <color indexed="81"/>
            <rFont val="Tahoma"/>
            <family val="2"/>
          </rPr>
          <t>sgt:</t>
        </r>
        <r>
          <rPr>
            <sz val="8"/>
            <color indexed="81"/>
            <rFont val="Tahoma"/>
            <family val="2"/>
          </rPr>
          <t xml:space="preserve">
was 40,
per 5nov09 telecon</t>
        </r>
      </text>
    </comment>
    <comment ref="V32" authorId="0" shapeId="0" xr:uid="{00000000-0006-0000-0000-0000A2000000}">
      <text>
        <r>
          <rPr>
            <b/>
            <sz val="8"/>
            <color indexed="81"/>
            <rFont val="Tahoma"/>
            <family val="2"/>
          </rPr>
          <t>sgt:</t>
        </r>
        <r>
          <rPr>
            <sz val="8"/>
            <color indexed="81"/>
            <rFont val="Tahoma"/>
            <family val="2"/>
          </rPr>
          <t xml:space="preserve">
was 40 50 60 80,
per 5nov09 telecon</t>
        </r>
      </text>
    </comment>
    <comment ref="AB32" authorId="2" shapeId="0" xr:uid="{00000000-0006-0000-0000-0000A3000000}">
      <text>
        <r>
          <rPr>
            <b/>
            <sz val="8"/>
            <color indexed="81"/>
            <rFont val="Tahoma"/>
            <family val="2"/>
          </rPr>
          <t>William J. Cramer:</t>
        </r>
        <r>
          <rPr>
            <sz val="8"/>
            <color indexed="81"/>
            <rFont val="Tahoma"/>
            <family val="2"/>
          </rPr>
          <t xml:space="preserve">
was just MECHANICAL_AZIMUTH_UNIDIRECTIONAL</t>
        </r>
      </text>
    </comment>
    <comment ref="AD32" authorId="0" shapeId="0" xr:uid="{00000000-0006-0000-0000-0000A4000000}">
      <text>
        <r>
          <rPr>
            <b/>
            <sz val="8"/>
            <color indexed="81"/>
            <rFont val="Tahoma"/>
            <family val="2"/>
          </rPr>
          <t>sgt:</t>
        </r>
        <r>
          <rPr>
            <sz val="8"/>
            <color indexed="81"/>
            <rFont val="Tahoma"/>
            <family val="2"/>
          </rPr>
          <t xml:space="preserve">
was 0</t>
        </r>
      </text>
    </comment>
    <comment ref="AH32" authorId="0" shapeId="0" xr:uid="{00000000-0006-0000-0000-0000A5000000}">
      <text>
        <r>
          <rPr>
            <b/>
            <sz val="8"/>
            <color indexed="81"/>
            <rFont val="Tahoma"/>
            <family val="2"/>
          </rPr>
          <t>sgt:</t>
        </r>
        <r>
          <rPr>
            <sz val="8"/>
            <color indexed="81"/>
            <rFont val="Tahoma"/>
            <family val="2"/>
          </rPr>
          <t xml:space="preserve">
was blank</t>
        </r>
      </text>
    </comment>
    <comment ref="BE32" authorId="2" shapeId="0" xr:uid="{00000000-0006-0000-0000-0000A6000000}">
      <text>
        <r>
          <rPr>
            <b/>
            <sz val="8"/>
            <color indexed="81"/>
            <rFont val="Tahoma"/>
            <family val="2"/>
          </rPr>
          <t>William J. Cramer:</t>
        </r>
        <r>
          <rPr>
            <sz val="8"/>
            <color indexed="81"/>
            <rFont val="Tahoma"/>
            <family val="2"/>
          </rPr>
          <t xml:space="preserve">
was 0</t>
        </r>
      </text>
    </comment>
    <comment ref="R33" authorId="0" shapeId="0" xr:uid="{00000000-0006-0000-0000-0000A7000000}">
      <text>
        <r>
          <rPr>
            <b/>
            <sz val="8"/>
            <color indexed="81"/>
            <rFont val="Tahoma"/>
            <family val="2"/>
          </rPr>
          <t>Steven G. Todd:</t>
        </r>
        <r>
          <rPr>
            <sz val="8"/>
            <color indexed="81"/>
            <rFont val="Tahoma"/>
            <family val="2"/>
          </rPr>
          <t xml:space="preserve">
was 40,
per 5nov09 telecon</t>
        </r>
      </text>
    </comment>
    <comment ref="V33" authorId="0" shapeId="0" xr:uid="{00000000-0006-0000-0000-0000A8000000}">
      <text>
        <r>
          <rPr>
            <b/>
            <sz val="8"/>
            <color indexed="81"/>
            <rFont val="Tahoma"/>
            <family val="2"/>
          </rPr>
          <t>sgt:</t>
        </r>
        <r>
          <rPr>
            <sz val="8"/>
            <color indexed="81"/>
            <rFont val="Tahoma"/>
            <family val="2"/>
          </rPr>
          <t xml:space="preserve">
was 40 50 60 80,
per 5nov09 telecon</t>
        </r>
      </text>
    </comment>
    <comment ref="AB33" authorId="2" shapeId="0" xr:uid="{00000000-0006-0000-0000-0000A9000000}">
      <text>
        <r>
          <rPr>
            <b/>
            <sz val="8"/>
            <color indexed="81"/>
            <rFont val="Tahoma"/>
            <family val="2"/>
          </rPr>
          <t>William J. Cramer:</t>
        </r>
        <r>
          <rPr>
            <sz val="8"/>
            <color indexed="81"/>
            <rFont val="Tahoma"/>
            <family val="2"/>
          </rPr>
          <t xml:space="preserve">
was just MECHANICAL_AZIMUTH_UNIDIRECTIONAL</t>
        </r>
      </text>
    </comment>
    <comment ref="AD33" authorId="0" shapeId="0" xr:uid="{00000000-0006-0000-0000-0000AA000000}">
      <text>
        <r>
          <rPr>
            <b/>
            <sz val="8"/>
            <color indexed="81"/>
            <rFont val="Tahoma"/>
            <family val="2"/>
          </rPr>
          <t>sgt:</t>
        </r>
        <r>
          <rPr>
            <sz val="8"/>
            <color indexed="81"/>
            <rFont val="Tahoma"/>
            <family val="2"/>
          </rPr>
          <t xml:space="preserve">
was 0</t>
        </r>
      </text>
    </comment>
    <comment ref="AH33" authorId="0" shapeId="0" xr:uid="{00000000-0006-0000-0000-0000AB000000}">
      <text>
        <r>
          <rPr>
            <b/>
            <sz val="8"/>
            <color indexed="81"/>
            <rFont val="Tahoma"/>
            <family val="2"/>
          </rPr>
          <t>sgt:</t>
        </r>
        <r>
          <rPr>
            <sz val="8"/>
            <color indexed="81"/>
            <rFont val="Tahoma"/>
            <family val="2"/>
          </rPr>
          <t xml:space="preserve">
was blank</t>
        </r>
      </text>
    </comment>
    <comment ref="BE33" authorId="2" shapeId="0" xr:uid="{00000000-0006-0000-0000-0000AC000000}">
      <text>
        <r>
          <rPr>
            <b/>
            <sz val="8"/>
            <color indexed="81"/>
            <rFont val="Tahoma"/>
            <family val="2"/>
          </rPr>
          <t>William J. Cramer:</t>
        </r>
        <r>
          <rPr>
            <sz val="8"/>
            <color indexed="81"/>
            <rFont val="Tahoma"/>
            <family val="2"/>
          </rPr>
          <t xml:space="preserve">
was 0</t>
        </r>
      </text>
    </comment>
    <comment ref="R34" authorId="2" shapeId="0" xr:uid="{00000000-0006-0000-0000-0000AD000000}">
      <text>
        <r>
          <rPr>
            <b/>
            <sz val="8"/>
            <color indexed="81"/>
            <rFont val="Tahoma"/>
            <family val="2"/>
          </rPr>
          <t>William J. Cramer:</t>
        </r>
        <r>
          <rPr>
            <sz val="8"/>
            <color indexed="81"/>
            <rFont val="Tahoma"/>
            <family val="2"/>
          </rPr>
          <t xml:space="preserve">
was 5</t>
        </r>
      </text>
    </comment>
    <comment ref="S34" authorId="2" shapeId="0" xr:uid="{00000000-0006-0000-0000-0000AE000000}">
      <text>
        <r>
          <rPr>
            <b/>
            <sz val="8"/>
            <color indexed="81"/>
            <rFont val="Tahoma"/>
            <family val="2"/>
          </rPr>
          <t>William J. Cramer:</t>
        </r>
        <r>
          <rPr>
            <sz val="8"/>
            <color indexed="81"/>
            <rFont val="Tahoma"/>
            <family val="2"/>
          </rPr>
          <t xml:space="preserve">
was 8</t>
        </r>
      </text>
    </comment>
    <comment ref="AB34" authorId="0" shapeId="0" xr:uid="{00000000-0006-0000-0000-0000AF000000}">
      <text>
        <r>
          <rPr>
            <b/>
            <sz val="8"/>
            <color indexed="81"/>
            <rFont val="Tahoma"/>
            <family val="2"/>
          </rPr>
          <t>sgt:</t>
        </r>
        <r>
          <rPr>
            <sz val="8"/>
            <color indexed="81"/>
            <rFont val="Tahoma"/>
            <family val="2"/>
          </rPr>
          <t xml:space="preserve">
was ELECTRICAL_AZIMUTH_UNIDIRECTION</t>
        </r>
      </text>
    </comment>
    <comment ref="AD34" authorId="0" shapeId="0" xr:uid="{00000000-0006-0000-0000-0000B0000000}">
      <text>
        <r>
          <rPr>
            <b/>
            <sz val="8"/>
            <color indexed="81"/>
            <rFont val="Tahoma"/>
            <family val="2"/>
          </rPr>
          <t>sgt:</t>
        </r>
        <r>
          <rPr>
            <sz val="8"/>
            <color indexed="81"/>
            <rFont val="Tahoma"/>
            <family val="2"/>
          </rPr>
          <t xml:space="preserve">
was 0</t>
        </r>
      </text>
    </comment>
    <comment ref="AG34" authorId="2" shapeId="0" xr:uid="{00000000-0006-0000-0000-0000B1000000}">
      <text>
        <r>
          <rPr>
            <b/>
            <sz val="8"/>
            <color indexed="81"/>
            <rFont val="Tahoma"/>
            <family val="2"/>
          </rPr>
          <t>William J. Cramer:</t>
        </r>
        <r>
          <rPr>
            <sz val="8"/>
            <color indexed="81"/>
            <rFont val="Tahoma"/>
            <family val="2"/>
          </rPr>
          <t xml:space="preserve">
was 5</t>
        </r>
      </text>
    </comment>
    <comment ref="AH34" authorId="2" shapeId="0" xr:uid="{00000000-0006-0000-0000-0000B2000000}">
      <text>
        <r>
          <rPr>
            <b/>
            <sz val="8"/>
            <color indexed="81"/>
            <rFont val="Tahoma"/>
            <family val="2"/>
          </rPr>
          <t>William J. Cramer:</t>
        </r>
        <r>
          <rPr>
            <sz val="8"/>
            <color indexed="81"/>
            <rFont val="Tahoma"/>
            <family val="2"/>
          </rPr>
          <t xml:space="preserve">
was 2</t>
        </r>
      </text>
    </comment>
    <comment ref="L35" authorId="0" shapeId="0" xr:uid="{00000000-0006-0000-0000-0000B3000000}">
      <text>
        <r>
          <rPr>
            <b/>
            <sz val="8"/>
            <color indexed="81"/>
            <rFont val="Tahoma"/>
            <family val="2"/>
          </rPr>
          <t>sgt:</t>
        </r>
        <r>
          <rPr>
            <sz val="8"/>
            <color indexed="81"/>
            <rFont val="Tahoma"/>
            <family val="2"/>
          </rPr>
          <t xml:space="preserve">
was 9000</t>
        </r>
      </text>
    </comment>
    <comment ref="M35" authorId="0" shapeId="0" xr:uid="{00000000-0006-0000-0000-0000B4000000}">
      <text>
        <r>
          <rPr>
            <b/>
            <sz val="8"/>
            <color indexed="81"/>
            <rFont val="Tahoma"/>
            <family val="2"/>
          </rPr>
          <t>sgt:</t>
        </r>
        <r>
          <rPr>
            <sz val="8"/>
            <color indexed="81"/>
            <rFont val="Tahoma"/>
            <family val="2"/>
          </rPr>
          <t xml:space="preserve">
was 9200</t>
        </r>
      </text>
    </comment>
    <comment ref="AG35" authorId="2" shapeId="0" xr:uid="{00000000-0006-0000-0000-0000B5000000}">
      <text>
        <r>
          <rPr>
            <b/>
            <sz val="8"/>
            <color indexed="81"/>
            <rFont val="Tahoma"/>
            <family val="2"/>
          </rPr>
          <t>William J. Cramer:</t>
        </r>
        <r>
          <rPr>
            <sz val="8"/>
            <color indexed="81"/>
            <rFont val="Tahoma"/>
            <family val="2"/>
          </rPr>
          <t xml:space="preserve">
was 5</t>
        </r>
      </text>
    </comment>
    <comment ref="AH35" authorId="2" shapeId="0" xr:uid="{00000000-0006-0000-0000-0000B6000000}">
      <text>
        <r>
          <rPr>
            <b/>
            <sz val="8"/>
            <color indexed="81"/>
            <rFont val="Tahoma"/>
            <family val="2"/>
          </rPr>
          <t>William J. Cramer:</t>
        </r>
        <r>
          <rPr>
            <sz val="8"/>
            <color indexed="81"/>
            <rFont val="Tahoma"/>
            <family val="2"/>
          </rPr>
          <t xml:space="preserve">
was 2</t>
        </r>
      </text>
    </comment>
    <comment ref="AZ35" authorId="0" shapeId="0" xr:uid="{00000000-0006-0000-0000-0000B7000000}">
      <text>
        <r>
          <rPr>
            <b/>
            <sz val="8"/>
            <color indexed="81"/>
            <rFont val="Tahoma"/>
            <family val="2"/>
          </rPr>
          <t>sgt:</t>
        </r>
        <r>
          <rPr>
            <sz val="8"/>
            <color indexed="81"/>
            <rFont val="Tahoma"/>
            <family val="2"/>
          </rPr>
          <t xml:space="preserve">
was 0</t>
        </r>
      </text>
    </comment>
    <comment ref="L36" authorId="0" shapeId="0" xr:uid="{00000000-0006-0000-0000-0000B8000000}">
      <text>
        <r>
          <rPr>
            <b/>
            <sz val="8"/>
            <color indexed="81"/>
            <rFont val="Tahoma"/>
            <family val="2"/>
          </rPr>
          <t>sgt:</t>
        </r>
        <r>
          <rPr>
            <sz val="8"/>
            <color indexed="81"/>
            <rFont val="Tahoma"/>
            <family val="2"/>
          </rPr>
          <t xml:space="preserve">
was 9000</t>
        </r>
      </text>
    </comment>
    <comment ref="M36" authorId="0" shapeId="0" xr:uid="{00000000-0006-0000-0000-0000B9000000}">
      <text>
        <r>
          <rPr>
            <b/>
            <sz val="8"/>
            <color indexed="81"/>
            <rFont val="Tahoma"/>
            <family val="2"/>
          </rPr>
          <t>sgt:</t>
        </r>
        <r>
          <rPr>
            <sz val="8"/>
            <color indexed="81"/>
            <rFont val="Tahoma"/>
            <family val="2"/>
          </rPr>
          <t xml:space="preserve">
was 9200</t>
        </r>
      </text>
    </comment>
    <comment ref="Z36" authorId="2" shapeId="0" xr:uid="{00000000-0006-0000-0000-0000BA000000}">
      <text>
        <r>
          <rPr>
            <b/>
            <sz val="8"/>
            <color indexed="81"/>
            <rFont val="Tahoma"/>
            <family val="2"/>
          </rPr>
          <t>William J. Cramer:</t>
        </r>
        <r>
          <rPr>
            <sz val="8"/>
            <color indexed="81"/>
            <rFont val="Tahoma"/>
            <family val="2"/>
          </rPr>
          <t xml:space="preserve">
was 5</t>
        </r>
      </text>
    </comment>
    <comment ref="AA36" authorId="2" shapeId="0" xr:uid="{00000000-0006-0000-0000-0000BB000000}">
      <text>
        <r>
          <rPr>
            <b/>
            <sz val="8"/>
            <color indexed="81"/>
            <rFont val="Tahoma"/>
            <family val="2"/>
          </rPr>
          <t>William J. Cramer:</t>
        </r>
        <r>
          <rPr>
            <sz val="8"/>
            <color indexed="81"/>
            <rFont val="Tahoma"/>
            <family val="2"/>
          </rPr>
          <t xml:space="preserve">
was 5</t>
        </r>
      </text>
    </comment>
    <comment ref="AG36" authorId="2" shapeId="0" xr:uid="{00000000-0006-0000-0000-0000BC000000}">
      <text>
        <r>
          <rPr>
            <b/>
            <sz val="8"/>
            <color indexed="81"/>
            <rFont val="Tahoma"/>
            <family val="2"/>
          </rPr>
          <t>William J. Cramer:</t>
        </r>
        <r>
          <rPr>
            <sz val="8"/>
            <color indexed="81"/>
            <rFont val="Tahoma"/>
            <family val="2"/>
          </rPr>
          <t xml:space="preserve">
was 5</t>
        </r>
      </text>
    </comment>
    <comment ref="AH36" authorId="2" shapeId="0" xr:uid="{00000000-0006-0000-0000-0000BD000000}">
      <text>
        <r>
          <rPr>
            <b/>
            <sz val="8"/>
            <color indexed="81"/>
            <rFont val="Tahoma"/>
            <family val="2"/>
          </rPr>
          <t>William J. Cramer:</t>
        </r>
        <r>
          <rPr>
            <sz val="8"/>
            <color indexed="81"/>
            <rFont val="Tahoma"/>
            <family val="2"/>
          </rPr>
          <t xml:space="preserve">
was 2</t>
        </r>
      </text>
    </comment>
    <comment ref="AZ36" authorId="0" shapeId="0" xr:uid="{00000000-0006-0000-0000-0000BE000000}">
      <text>
        <r>
          <rPr>
            <b/>
            <sz val="8"/>
            <color indexed="81"/>
            <rFont val="Tahoma"/>
            <family val="2"/>
          </rPr>
          <t>sgt:</t>
        </r>
        <r>
          <rPr>
            <sz val="8"/>
            <color indexed="81"/>
            <rFont val="Tahoma"/>
            <family val="2"/>
          </rPr>
          <t xml:space="preserve">
was 0</t>
        </r>
      </text>
    </comment>
    <comment ref="B37" authorId="2" shapeId="0" xr:uid="{00000000-0006-0000-0000-0000BF000000}">
      <text>
        <r>
          <rPr>
            <b/>
            <sz val="8"/>
            <color indexed="81"/>
            <rFont val="Tahoma"/>
            <family val="2"/>
          </rPr>
          <t>William J. Cramer:</t>
        </r>
        <r>
          <rPr>
            <sz val="8"/>
            <color indexed="81"/>
            <rFont val="Tahoma"/>
            <family val="2"/>
          </rPr>
          <t xml:space="preserve">
LMSI to develop test scenario
@ 08-feb-10 telecon, GDC stated that this may be tested in-band with a test emitter and verified to work, and this freq range may then be included in the PAX MDL without testing - otherwise LM to determine best test scenario</t>
        </r>
      </text>
    </comment>
    <comment ref="L37" authorId="2" shapeId="0" xr:uid="{00000000-0006-0000-0000-0000C0000000}">
      <text>
        <r>
          <rPr>
            <b/>
            <sz val="8"/>
            <color indexed="81"/>
            <rFont val="Tahoma"/>
            <family val="2"/>
          </rPr>
          <t>William J. Cramer:</t>
        </r>
        <r>
          <rPr>
            <sz val="8"/>
            <color indexed="81"/>
            <rFont val="Tahoma"/>
            <family val="2"/>
          </rPr>
          <t xml:space="preserve">
was 26100</t>
        </r>
      </text>
    </comment>
    <comment ref="M37" authorId="2" shapeId="0" xr:uid="{00000000-0006-0000-0000-0000C1000000}">
      <text>
        <r>
          <rPr>
            <b/>
            <sz val="8"/>
            <color indexed="81"/>
            <rFont val="Tahoma"/>
            <family val="2"/>
          </rPr>
          <t>William J. Cramer:</t>
        </r>
        <r>
          <rPr>
            <sz val="8"/>
            <color indexed="81"/>
            <rFont val="Tahoma"/>
            <family val="2"/>
          </rPr>
          <t xml:space="preserve">
was 26300</t>
        </r>
      </text>
    </comment>
    <comment ref="Q37" authorId="2" shapeId="0" xr:uid="{00000000-0006-0000-0000-0000C2000000}">
      <text>
        <r>
          <rPr>
            <b/>
            <sz val="8"/>
            <color indexed="81"/>
            <rFont val="Tahoma"/>
            <family val="2"/>
          </rPr>
          <t>William J. Cramer:</t>
        </r>
        <r>
          <rPr>
            <sz val="8"/>
            <color indexed="81"/>
            <rFont val="Tahoma"/>
            <family val="2"/>
          </rPr>
          <t xml:space="preserve">
Assume random across all 200MHz</t>
        </r>
      </text>
    </comment>
    <comment ref="AB37" authorId="2" shapeId="0" xr:uid="{00000000-0006-0000-0000-0000C3000000}">
      <text>
        <r>
          <rPr>
            <b/>
            <sz val="8"/>
            <color indexed="81"/>
            <rFont val="Tahoma"/>
            <family val="2"/>
          </rPr>
          <t>William J. Cramer:</t>
        </r>
        <r>
          <rPr>
            <sz val="8"/>
            <color indexed="81"/>
            <rFont val="Tahoma"/>
            <family val="2"/>
          </rPr>
          <t xml:space="preserve">
was just MECHANICAL_AZIMUTH_UNIDIRECTIONAL</t>
        </r>
      </text>
    </comment>
    <comment ref="AD37" authorId="0" shapeId="0" xr:uid="{00000000-0006-0000-0000-0000C4000000}">
      <text>
        <r>
          <rPr>
            <b/>
            <sz val="8"/>
            <color indexed="81"/>
            <rFont val="Tahoma"/>
            <family val="2"/>
          </rPr>
          <t>sgt:</t>
        </r>
        <r>
          <rPr>
            <sz val="8"/>
            <color indexed="81"/>
            <rFont val="Tahoma"/>
            <family val="2"/>
          </rPr>
          <t xml:space="preserve">
was 0</t>
        </r>
      </text>
    </comment>
    <comment ref="AH37" authorId="0" shapeId="0" xr:uid="{00000000-0006-0000-0000-0000C5000000}">
      <text>
        <r>
          <rPr>
            <b/>
            <sz val="8"/>
            <color indexed="81"/>
            <rFont val="Tahoma"/>
            <family val="2"/>
          </rPr>
          <t>sgt:</t>
        </r>
        <r>
          <rPr>
            <sz val="8"/>
            <color indexed="81"/>
            <rFont val="Tahoma"/>
            <family val="2"/>
          </rPr>
          <t xml:space="preserve">
was 0</t>
        </r>
      </text>
    </comment>
    <comment ref="BE37" authorId="2" shapeId="0" xr:uid="{00000000-0006-0000-0000-0000C6000000}">
      <text>
        <r>
          <rPr>
            <b/>
            <sz val="8"/>
            <color indexed="81"/>
            <rFont val="Tahoma"/>
            <family val="2"/>
          </rPr>
          <t>William J. Cramer:</t>
        </r>
        <r>
          <rPr>
            <sz val="8"/>
            <color indexed="81"/>
            <rFont val="Tahoma"/>
            <family val="2"/>
          </rPr>
          <t xml:space="preserve">
was 0</t>
        </r>
      </text>
    </comment>
    <comment ref="L38" authorId="2" shapeId="0" xr:uid="{00000000-0006-0000-0000-0000C7000000}">
      <text>
        <r>
          <rPr>
            <b/>
            <sz val="8"/>
            <color indexed="81"/>
            <rFont val="Tahoma"/>
            <family val="2"/>
          </rPr>
          <t>William J. Cramer:</t>
        </r>
        <r>
          <rPr>
            <sz val="8"/>
            <color indexed="81"/>
            <rFont val="Tahoma"/>
            <family val="2"/>
          </rPr>
          <t xml:space="preserve">
was 26100</t>
        </r>
      </text>
    </comment>
    <comment ref="M38" authorId="2" shapeId="0" xr:uid="{00000000-0006-0000-0000-0000C8000000}">
      <text>
        <r>
          <rPr>
            <b/>
            <sz val="8"/>
            <color indexed="81"/>
            <rFont val="Tahoma"/>
            <family val="2"/>
          </rPr>
          <t>William J. Cramer:</t>
        </r>
        <r>
          <rPr>
            <sz val="8"/>
            <color indexed="81"/>
            <rFont val="Tahoma"/>
            <family val="2"/>
          </rPr>
          <t xml:space="preserve">
was 26300</t>
        </r>
      </text>
    </comment>
    <comment ref="V38" authorId="2" shapeId="0" xr:uid="{00000000-0006-0000-0000-0000C9000000}">
      <text>
        <r>
          <rPr>
            <b/>
            <sz val="8"/>
            <color indexed="81"/>
            <rFont val="Tahoma"/>
            <family val="2"/>
          </rPr>
          <t>William J. Cramer:</t>
        </r>
        <r>
          <rPr>
            <sz val="8"/>
            <color indexed="81"/>
            <rFont val="Tahoma"/>
            <family val="2"/>
          </rPr>
          <t xml:space="preserve">
need to define PWs for the doublets and the durations between them and the frames</t>
        </r>
      </text>
    </comment>
    <comment ref="AB38" authorId="2" shapeId="0" xr:uid="{00000000-0006-0000-0000-0000CA000000}">
      <text>
        <r>
          <rPr>
            <b/>
            <sz val="8"/>
            <color indexed="81"/>
            <rFont val="Tahoma"/>
            <family val="2"/>
          </rPr>
          <t>William J. Cramer:</t>
        </r>
        <r>
          <rPr>
            <sz val="8"/>
            <color indexed="81"/>
            <rFont val="Tahoma"/>
            <family val="2"/>
          </rPr>
          <t xml:space="preserve">
was just MECHANICAL_AZIMUTH_UNIDIRECTIONAL</t>
        </r>
      </text>
    </comment>
    <comment ref="AD38" authorId="0" shapeId="0" xr:uid="{00000000-0006-0000-0000-0000CB000000}">
      <text>
        <r>
          <rPr>
            <b/>
            <sz val="8"/>
            <color indexed="81"/>
            <rFont val="Tahoma"/>
            <family val="2"/>
          </rPr>
          <t>sgt:</t>
        </r>
        <r>
          <rPr>
            <sz val="8"/>
            <color indexed="81"/>
            <rFont val="Tahoma"/>
            <family val="2"/>
          </rPr>
          <t xml:space="preserve">
was 0</t>
        </r>
      </text>
    </comment>
    <comment ref="AH38" authorId="0" shapeId="0" xr:uid="{00000000-0006-0000-0000-0000CC000000}">
      <text>
        <r>
          <rPr>
            <b/>
            <sz val="8"/>
            <color indexed="81"/>
            <rFont val="Tahoma"/>
            <family val="2"/>
          </rPr>
          <t>sgt:</t>
        </r>
        <r>
          <rPr>
            <sz val="8"/>
            <color indexed="81"/>
            <rFont val="Tahoma"/>
            <family val="2"/>
          </rPr>
          <t xml:space="preserve">
was 0</t>
        </r>
      </text>
    </comment>
    <comment ref="BE38" authorId="2" shapeId="0" xr:uid="{00000000-0006-0000-0000-0000CD000000}">
      <text>
        <r>
          <rPr>
            <b/>
            <sz val="8"/>
            <color indexed="81"/>
            <rFont val="Tahoma"/>
            <family val="2"/>
          </rPr>
          <t>William J. Cramer:</t>
        </r>
        <r>
          <rPr>
            <sz val="8"/>
            <color indexed="81"/>
            <rFont val="Tahoma"/>
            <family val="2"/>
          </rPr>
          <t xml:space="preserve">
was 0</t>
        </r>
      </text>
    </comment>
    <comment ref="L39" authorId="2" shapeId="0" xr:uid="{00000000-0006-0000-0000-0000CE000000}">
      <text>
        <r>
          <rPr>
            <b/>
            <sz val="8"/>
            <color indexed="81"/>
            <rFont val="Tahoma"/>
            <family val="2"/>
          </rPr>
          <t>William J. Cramer:</t>
        </r>
        <r>
          <rPr>
            <sz val="8"/>
            <color indexed="81"/>
            <rFont val="Tahoma"/>
            <family val="2"/>
          </rPr>
          <t xml:space="preserve">
was 26100</t>
        </r>
      </text>
    </comment>
    <comment ref="M39" authorId="2" shapeId="0" xr:uid="{00000000-0006-0000-0000-0000CF000000}">
      <text>
        <r>
          <rPr>
            <b/>
            <sz val="8"/>
            <color indexed="81"/>
            <rFont val="Tahoma"/>
            <family val="2"/>
          </rPr>
          <t>William J. Cramer:</t>
        </r>
        <r>
          <rPr>
            <sz val="8"/>
            <color indexed="81"/>
            <rFont val="Tahoma"/>
            <family val="2"/>
          </rPr>
          <t xml:space="preserve">
was 26300</t>
        </r>
      </text>
    </comment>
    <comment ref="V39" authorId="2" shapeId="0" xr:uid="{00000000-0006-0000-0000-0000D0000000}">
      <text>
        <r>
          <rPr>
            <b/>
            <sz val="8"/>
            <color indexed="81"/>
            <rFont val="Tahoma"/>
            <family val="2"/>
          </rPr>
          <t>William J. Cramer:</t>
        </r>
        <r>
          <rPr>
            <sz val="8"/>
            <color indexed="81"/>
            <rFont val="Tahoma"/>
            <family val="2"/>
          </rPr>
          <t xml:space="preserve">
need to define PWs for the triplets and the durations between them and the frames</t>
        </r>
      </text>
    </comment>
    <comment ref="AB39" authorId="2" shapeId="0" xr:uid="{00000000-0006-0000-0000-0000D1000000}">
      <text>
        <r>
          <rPr>
            <b/>
            <sz val="8"/>
            <color indexed="81"/>
            <rFont val="Tahoma"/>
            <family val="2"/>
          </rPr>
          <t>William J. Cramer:</t>
        </r>
        <r>
          <rPr>
            <sz val="8"/>
            <color indexed="81"/>
            <rFont val="Tahoma"/>
            <family val="2"/>
          </rPr>
          <t xml:space="preserve">
was just MECHANICAL_AZIMUTH_UNIDIRECTIONAL</t>
        </r>
      </text>
    </comment>
    <comment ref="AD39" authorId="0" shapeId="0" xr:uid="{00000000-0006-0000-0000-0000D2000000}">
      <text>
        <r>
          <rPr>
            <b/>
            <sz val="8"/>
            <color indexed="81"/>
            <rFont val="Tahoma"/>
            <family val="2"/>
          </rPr>
          <t>sgt:</t>
        </r>
        <r>
          <rPr>
            <sz val="8"/>
            <color indexed="81"/>
            <rFont val="Tahoma"/>
            <family val="2"/>
          </rPr>
          <t xml:space="preserve">
was 0</t>
        </r>
      </text>
    </comment>
    <comment ref="AH39" authorId="0" shapeId="0" xr:uid="{00000000-0006-0000-0000-0000D3000000}">
      <text>
        <r>
          <rPr>
            <b/>
            <sz val="8"/>
            <color indexed="81"/>
            <rFont val="Tahoma"/>
            <family val="2"/>
          </rPr>
          <t>sgt:</t>
        </r>
        <r>
          <rPr>
            <sz val="8"/>
            <color indexed="81"/>
            <rFont val="Tahoma"/>
            <family val="2"/>
          </rPr>
          <t xml:space="preserve">
was 0</t>
        </r>
      </text>
    </comment>
    <comment ref="BE39" authorId="2" shapeId="0" xr:uid="{00000000-0006-0000-0000-0000D4000000}">
      <text>
        <r>
          <rPr>
            <b/>
            <sz val="8"/>
            <color indexed="81"/>
            <rFont val="Tahoma"/>
            <family val="2"/>
          </rPr>
          <t>William J. Cramer:</t>
        </r>
        <r>
          <rPr>
            <sz val="8"/>
            <color indexed="81"/>
            <rFont val="Tahoma"/>
            <family val="2"/>
          </rPr>
          <t xml:space="preserve">
was 0</t>
        </r>
      </text>
    </comment>
    <comment ref="L40" authorId="2" shapeId="0" xr:uid="{00000000-0006-0000-0000-0000D5000000}">
      <text>
        <r>
          <rPr>
            <b/>
            <sz val="8"/>
            <color indexed="81"/>
            <rFont val="Tahoma"/>
            <family val="2"/>
          </rPr>
          <t>William J. Cramer:</t>
        </r>
        <r>
          <rPr>
            <sz val="8"/>
            <color indexed="81"/>
            <rFont val="Tahoma"/>
            <family val="2"/>
          </rPr>
          <t xml:space="preserve">
was 26100</t>
        </r>
      </text>
    </comment>
    <comment ref="M40" authorId="2" shapeId="0" xr:uid="{00000000-0006-0000-0000-0000D6000000}">
      <text>
        <r>
          <rPr>
            <b/>
            <sz val="8"/>
            <color indexed="81"/>
            <rFont val="Tahoma"/>
            <family val="2"/>
          </rPr>
          <t>William J. Cramer:</t>
        </r>
        <r>
          <rPr>
            <sz val="8"/>
            <color indexed="81"/>
            <rFont val="Tahoma"/>
            <family val="2"/>
          </rPr>
          <t xml:space="preserve">
was 26300</t>
        </r>
      </text>
    </comment>
    <comment ref="R40" authorId="2" shapeId="0" xr:uid="{00000000-0006-0000-0000-0000D7000000}">
      <text>
        <r>
          <rPr>
            <b/>
            <sz val="8"/>
            <color indexed="81"/>
            <rFont val="Tahoma"/>
            <family val="2"/>
          </rPr>
          <t>William J. Cramer:</t>
        </r>
        <r>
          <rPr>
            <sz val="8"/>
            <color indexed="81"/>
            <rFont val="Tahoma"/>
            <family val="2"/>
          </rPr>
          <t xml:space="preserve">
was 100</t>
        </r>
      </text>
    </comment>
    <comment ref="S40" authorId="2" shapeId="0" xr:uid="{00000000-0006-0000-0000-0000D8000000}">
      <text>
        <r>
          <rPr>
            <b/>
            <sz val="8"/>
            <color indexed="81"/>
            <rFont val="Tahoma"/>
            <family val="2"/>
          </rPr>
          <t>William J. Cramer:</t>
        </r>
        <r>
          <rPr>
            <sz val="8"/>
            <color indexed="81"/>
            <rFont val="Tahoma"/>
            <family val="2"/>
          </rPr>
          <t xml:space="preserve">
was 500</t>
        </r>
      </text>
    </comment>
    <comment ref="AB40" authorId="2" shapeId="0" xr:uid="{00000000-0006-0000-0000-0000D9000000}">
      <text>
        <r>
          <rPr>
            <b/>
            <sz val="8"/>
            <color indexed="81"/>
            <rFont val="Tahoma"/>
            <family val="2"/>
          </rPr>
          <t>William J. Cramer:</t>
        </r>
        <r>
          <rPr>
            <sz val="8"/>
            <color indexed="81"/>
            <rFont val="Tahoma"/>
            <family val="2"/>
          </rPr>
          <t xml:space="preserve">
was just MECHANICAL_AZIMUTH_UNIDIRECTIONAL</t>
        </r>
      </text>
    </comment>
    <comment ref="AD40" authorId="0" shapeId="0" xr:uid="{00000000-0006-0000-0000-0000DA000000}">
      <text>
        <r>
          <rPr>
            <b/>
            <sz val="8"/>
            <color indexed="81"/>
            <rFont val="Tahoma"/>
            <family val="2"/>
          </rPr>
          <t>sgt:</t>
        </r>
        <r>
          <rPr>
            <sz val="8"/>
            <color indexed="81"/>
            <rFont val="Tahoma"/>
            <family val="2"/>
          </rPr>
          <t xml:space="preserve">
was 0</t>
        </r>
      </text>
    </comment>
    <comment ref="AH40" authorId="0" shapeId="0" xr:uid="{00000000-0006-0000-0000-0000DB000000}">
      <text>
        <r>
          <rPr>
            <b/>
            <sz val="8"/>
            <color indexed="81"/>
            <rFont val="Tahoma"/>
            <family val="2"/>
          </rPr>
          <t>sgt:</t>
        </r>
        <r>
          <rPr>
            <sz val="8"/>
            <color indexed="81"/>
            <rFont val="Tahoma"/>
            <family val="2"/>
          </rPr>
          <t xml:space="preserve">
was 0</t>
        </r>
      </text>
    </comment>
    <comment ref="BE40" authorId="2" shapeId="0" xr:uid="{00000000-0006-0000-0000-0000DC000000}">
      <text>
        <r>
          <rPr>
            <b/>
            <sz val="8"/>
            <color indexed="81"/>
            <rFont val="Tahoma"/>
            <family val="2"/>
          </rPr>
          <t>William J. Cramer:</t>
        </r>
        <r>
          <rPr>
            <sz val="8"/>
            <color indexed="81"/>
            <rFont val="Tahoma"/>
            <family val="2"/>
          </rPr>
          <t xml:space="preserve">
was 0</t>
        </r>
      </text>
    </comment>
    <comment ref="Z41" authorId="0" shapeId="0" xr:uid="{00000000-0006-0000-0000-0000DD000000}">
      <text>
        <r>
          <rPr>
            <b/>
            <sz val="8"/>
            <color indexed="81"/>
            <rFont val="Tahoma"/>
            <family val="2"/>
          </rPr>
          <t>sgt:</t>
        </r>
        <r>
          <rPr>
            <sz val="8"/>
            <color indexed="81"/>
            <rFont val="Tahoma"/>
            <family val="2"/>
          </rPr>
          <t xml:space="preserve">
was 4</t>
        </r>
      </text>
    </comment>
    <comment ref="AA41" authorId="0" shapeId="0" xr:uid="{00000000-0006-0000-0000-0000DE000000}">
      <text>
        <r>
          <rPr>
            <b/>
            <sz val="8"/>
            <color indexed="81"/>
            <rFont val="Tahoma"/>
            <family val="2"/>
          </rPr>
          <t>sgt:</t>
        </r>
        <r>
          <rPr>
            <sz val="8"/>
            <color indexed="81"/>
            <rFont val="Tahoma"/>
            <family val="2"/>
          </rPr>
          <t xml:space="preserve">
was 4</t>
        </r>
      </text>
    </comment>
    <comment ref="AB41" authorId="0" shapeId="0" xr:uid="{00000000-0006-0000-0000-0000DF000000}">
      <text>
        <r>
          <rPr>
            <b/>
            <sz val="8"/>
            <color indexed="81"/>
            <rFont val="Tahoma"/>
            <family val="2"/>
          </rPr>
          <t>sgt:</t>
        </r>
        <r>
          <rPr>
            <sz val="8"/>
            <color indexed="81"/>
            <rFont val="Tahoma"/>
            <family val="2"/>
          </rPr>
          <t xml:space="preserve">
was ELECTRICAL_AZIMUTH_BIDIRECTIONAL</t>
        </r>
      </text>
    </comment>
    <comment ref="AF41" authorId="2" shapeId="0" xr:uid="{00000000-0006-0000-0000-0000E0000000}">
      <text>
        <r>
          <rPr>
            <b/>
            <sz val="8"/>
            <color indexed="81"/>
            <rFont val="Tahoma"/>
            <family val="2"/>
          </rPr>
          <t>William J. Cramer:</t>
        </r>
        <r>
          <rPr>
            <sz val="8"/>
            <color indexed="81"/>
            <rFont val="Tahoma"/>
            <family val="2"/>
          </rPr>
          <t xml:space="preserve">
was blank</t>
        </r>
      </text>
    </comment>
    <comment ref="AH41" authorId="0" shapeId="0" xr:uid="{00000000-0006-0000-0000-0000E1000000}">
      <text>
        <r>
          <rPr>
            <b/>
            <sz val="8"/>
            <color indexed="81"/>
            <rFont val="Tahoma"/>
            <family val="2"/>
          </rPr>
          <t>sgt:</t>
        </r>
        <r>
          <rPr>
            <sz val="8"/>
            <color indexed="81"/>
            <rFont val="Tahoma"/>
            <family val="2"/>
          </rPr>
          <t xml:space="preserve">
was 2</t>
        </r>
      </text>
    </comment>
    <comment ref="BE41" authorId="2" shapeId="0" xr:uid="{00000000-0006-0000-0000-0000E2000000}">
      <text>
        <r>
          <rPr>
            <b/>
            <sz val="8"/>
            <color indexed="81"/>
            <rFont val="Tahoma"/>
            <family val="2"/>
          </rPr>
          <t>William J. Cramer:</t>
        </r>
        <r>
          <rPr>
            <sz val="8"/>
            <color indexed="81"/>
            <rFont val="Tahoma"/>
            <family val="2"/>
          </rPr>
          <t xml:space="preserve">
was 0</t>
        </r>
      </text>
    </comment>
    <comment ref="BF41" authorId="0" shapeId="0" xr:uid="{00000000-0006-0000-0000-0000E3000000}">
      <text>
        <r>
          <rPr>
            <b/>
            <sz val="8"/>
            <color indexed="81"/>
            <rFont val="Tahoma"/>
            <family val="2"/>
          </rPr>
          <t>sgt:</t>
        </r>
        <r>
          <rPr>
            <sz val="8"/>
            <color indexed="81"/>
            <rFont val="Tahoma"/>
            <family val="2"/>
          </rPr>
          <t xml:space="preserve">
was 1</t>
        </r>
      </text>
    </comment>
    <comment ref="BG41" authorId="0" shapeId="0" xr:uid="{00000000-0006-0000-0000-0000E4000000}">
      <text>
        <r>
          <rPr>
            <b/>
            <sz val="8"/>
            <color indexed="81"/>
            <rFont val="Tahoma"/>
            <family val="2"/>
          </rPr>
          <t>sgt:</t>
        </r>
        <r>
          <rPr>
            <sz val="8"/>
            <color indexed="81"/>
            <rFont val="Tahoma"/>
            <family val="2"/>
          </rPr>
          <t xml:space="preserve">
was 0</t>
        </r>
      </text>
    </comment>
    <comment ref="F42" authorId="2" shapeId="0" xr:uid="{00000000-0006-0000-0000-0000E5000000}">
      <text>
        <r>
          <rPr>
            <b/>
            <sz val="8"/>
            <color indexed="81"/>
            <rFont val="Tahoma"/>
            <family val="2"/>
          </rPr>
          <t>William J. Cramer:</t>
        </r>
        <r>
          <rPr>
            <sz val="8"/>
            <color indexed="81"/>
            <rFont val="Tahoma"/>
            <family val="2"/>
          </rPr>
          <t xml:space="preserve">
added HOSTILE</t>
        </r>
      </text>
    </comment>
    <comment ref="AB42" authorId="0" shapeId="0" xr:uid="{00000000-0006-0000-0000-0000E6000000}">
      <text>
        <r>
          <rPr>
            <b/>
            <sz val="8"/>
            <color indexed="81"/>
            <rFont val="Tahoma"/>
            <family val="2"/>
          </rPr>
          <t>sgt:</t>
        </r>
        <r>
          <rPr>
            <sz val="8"/>
            <color indexed="81"/>
            <rFont val="Tahoma"/>
            <family val="2"/>
          </rPr>
          <t xml:space="preserve">
was ELECTRICAL_AZIMUTH_BIDIRECTIONAL</t>
        </r>
      </text>
    </comment>
    <comment ref="AD42" authorId="0" shapeId="0" xr:uid="{00000000-0006-0000-0000-0000E7000000}">
      <text>
        <r>
          <rPr>
            <b/>
            <sz val="8"/>
            <color indexed="81"/>
            <rFont val="Tahoma"/>
            <family val="2"/>
          </rPr>
          <t>sgt:</t>
        </r>
        <r>
          <rPr>
            <sz val="8"/>
            <color indexed="81"/>
            <rFont val="Tahoma"/>
            <family val="2"/>
          </rPr>
          <t xml:space="preserve">
was 0</t>
        </r>
      </text>
    </comment>
    <comment ref="BF42" authorId="0" shapeId="0" xr:uid="{00000000-0006-0000-0000-0000E8000000}">
      <text>
        <r>
          <rPr>
            <b/>
            <sz val="8"/>
            <color indexed="81"/>
            <rFont val="Tahoma"/>
            <family val="2"/>
          </rPr>
          <t>sgt:</t>
        </r>
        <r>
          <rPr>
            <sz val="8"/>
            <color indexed="81"/>
            <rFont val="Tahoma"/>
            <family val="2"/>
          </rPr>
          <t xml:space="preserve">
was 0</t>
        </r>
      </text>
    </comment>
    <comment ref="BH42" authorId="2" shapeId="0" xr:uid="{00000000-0006-0000-0000-0000E9000000}">
      <text>
        <r>
          <rPr>
            <b/>
            <sz val="8"/>
            <color indexed="81"/>
            <rFont val="Tahoma"/>
            <family val="2"/>
          </rPr>
          <t>William J. Cramer:</t>
        </r>
        <r>
          <rPr>
            <sz val="8"/>
            <color indexed="81"/>
            <rFont val="Tahoma"/>
            <family val="2"/>
          </rPr>
          <t xml:space="preserve">
was 0</t>
        </r>
      </text>
    </comment>
    <comment ref="F43" authorId="2" shapeId="0" xr:uid="{00000000-0006-0000-0000-0000EA000000}">
      <text>
        <r>
          <rPr>
            <b/>
            <sz val="8"/>
            <color indexed="81"/>
            <rFont val="Tahoma"/>
            <family val="2"/>
          </rPr>
          <t>William J. Cramer:</t>
        </r>
        <r>
          <rPr>
            <sz val="8"/>
            <color indexed="81"/>
            <rFont val="Tahoma"/>
            <family val="2"/>
          </rPr>
          <t xml:space="preserve">
added HOSTILE</t>
        </r>
      </text>
    </comment>
    <comment ref="Z43" authorId="2" shapeId="0" xr:uid="{00000000-0006-0000-0000-0000EB000000}">
      <text>
        <r>
          <rPr>
            <b/>
            <sz val="8"/>
            <color indexed="81"/>
            <rFont val="Tahoma"/>
            <family val="2"/>
          </rPr>
          <t>William J. Cramer:</t>
        </r>
        <r>
          <rPr>
            <sz val="8"/>
            <color indexed="81"/>
            <rFont val="Tahoma"/>
            <family val="2"/>
          </rPr>
          <t xml:space="preserve">
was 4</t>
        </r>
      </text>
    </comment>
    <comment ref="AA43" authorId="2" shapeId="0" xr:uid="{00000000-0006-0000-0000-0000EC000000}">
      <text>
        <r>
          <rPr>
            <b/>
            <sz val="8"/>
            <color indexed="81"/>
            <rFont val="Tahoma"/>
            <family val="2"/>
          </rPr>
          <t>William J. Cramer:</t>
        </r>
        <r>
          <rPr>
            <sz val="8"/>
            <color indexed="81"/>
            <rFont val="Tahoma"/>
            <family val="2"/>
          </rPr>
          <t xml:space="preserve">
was 30</t>
        </r>
      </text>
    </comment>
    <comment ref="AZ43" authorId="0" shapeId="0" xr:uid="{00000000-0006-0000-0000-0000ED000000}">
      <text>
        <r>
          <rPr>
            <b/>
            <sz val="8"/>
            <color indexed="81"/>
            <rFont val="Tahoma"/>
            <family val="2"/>
          </rPr>
          <t>sgt:</t>
        </r>
        <r>
          <rPr>
            <sz val="8"/>
            <color indexed="81"/>
            <rFont val="Tahoma"/>
            <family val="2"/>
          </rPr>
          <t xml:space="preserve">
was 0</t>
        </r>
      </text>
    </comment>
    <comment ref="BH43" authorId="2" shapeId="0" xr:uid="{00000000-0006-0000-0000-0000EE000000}">
      <text>
        <r>
          <rPr>
            <b/>
            <sz val="8"/>
            <color indexed="81"/>
            <rFont val="Tahoma"/>
            <family val="2"/>
          </rPr>
          <t>William J. Cramer:</t>
        </r>
        <r>
          <rPr>
            <sz val="8"/>
            <color indexed="81"/>
            <rFont val="Tahoma"/>
            <family val="2"/>
          </rPr>
          <t xml:space="preserve">
was 0</t>
        </r>
      </text>
    </comment>
    <comment ref="F44" authorId="2" shapeId="0" xr:uid="{00000000-0006-0000-0000-0000EF000000}">
      <text>
        <r>
          <rPr>
            <b/>
            <sz val="8"/>
            <color indexed="81"/>
            <rFont val="Tahoma"/>
            <family val="2"/>
          </rPr>
          <t>William J. Cramer:</t>
        </r>
        <r>
          <rPr>
            <sz val="8"/>
            <color indexed="81"/>
            <rFont val="Tahoma"/>
            <family val="2"/>
          </rPr>
          <t xml:space="preserve">
added HOSTILE</t>
        </r>
      </text>
    </comment>
    <comment ref="Z44" authorId="2" shapeId="0" xr:uid="{00000000-0006-0000-0000-0000F0000000}">
      <text>
        <r>
          <rPr>
            <b/>
            <sz val="8"/>
            <color indexed="81"/>
            <rFont val="Tahoma"/>
            <family val="2"/>
          </rPr>
          <t>William J. Cramer:</t>
        </r>
        <r>
          <rPr>
            <sz val="8"/>
            <color indexed="81"/>
            <rFont val="Tahoma"/>
            <family val="2"/>
          </rPr>
          <t xml:space="preserve">
was 4</t>
        </r>
      </text>
    </comment>
    <comment ref="AA44" authorId="2" shapeId="0" xr:uid="{00000000-0006-0000-0000-0000F1000000}">
      <text>
        <r>
          <rPr>
            <b/>
            <sz val="8"/>
            <color indexed="81"/>
            <rFont val="Tahoma"/>
            <family val="2"/>
          </rPr>
          <t>William J. Cramer:</t>
        </r>
        <r>
          <rPr>
            <sz val="8"/>
            <color indexed="81"/>
            <rFont val="Tahoma"/>
            <family val="2"/>
          </rPr>
          <t xml:space="preserve">
was 30</t>
        </r>
      </text>
    </comment>
    <comment ref="AZ44" authorId="0" shapeId="0" xr:uid="{00000000-0006-0000-0000-0000F2000000}">
      <text>
        <r>
          <rPr>
            <b/>
            <sz val="8"/>
            <color indexed="81"/>
            <rFont val="Tahoma"/>
            <family val="2"/>
          </rPr>
          <t>sgt:</t>
        </r>
        <r>
          <rPr>
            <sz val="8"/>
            <color indexed="81"/>
            <rFont val="Tahoma"/>
            <family val="2"/>
          </rPr>
          <t xml:space="preserve">
was 0</t>
        </r>
      </text>
    </comment>
    <comment ref="BH44" authorId="2" shapeId="0" xr:uid="{00000000-0006-0000-0000-0000F3000000}">
      <text>
        <r>
          <rPr>
            <b/>
            <sz val="8"/>
            <color indexed="81"/>
            <rFont val="Tahoma"/>
            <family val="2"/>
          </rPr>
          <t>William J. Cramer:</t>
        </r>
        <r>
          <rPr>
            <sz val="8"/>
            <color indexed="81"/>
            <rFont val="Tahoma"/>
            <family val="2"/>
          </rPr>
          <t xml:space="preserve">
was 0</t>
        </r>
      </text>
    </comment>
    <comment ref="S45" authorId="2" shapeId="0" xr:uid="{00000000-0006-0000-0000-0000F4000000}">
      <text>
        <r>
          <rPr>
            <b/>
            <sz val="8"/>
            <color indexed="81"/>
            <rFont val="Tahoma"/>
            <family val="2"/>
          </rPr>
          <t>William J. Cramer:</t>
        </r>
        <r>
          <rPr>
            <sz val="8"/>
            <color indexed="81"/>
            <rFont val="Tahoma"/>
            <family val="2"/>
          </rPr>
          <t xml:space="preserve">
was 2550
was 2250</t>
        </r>
      </text>
    </comment>
    <comment ref="V45" authorId="2" shapeId="0" xr:uid="{00000000-0006-0000-0000-0000F5000000}">
      <text>
        <r>
          <rPr>
            <b/>
            <sz val="8"/>
            <color indexed="81"/>
            <rFont val="Tahoma"/>
            <family val="2"/>
          </rPr>
          <t>William J. Cramer:</t>
        </r>
        <r>
          <rPr>
            <sz val="8"/>
            <color indexed="81"/>
            <rFont val="Tahoma"/>
            <family val="2"/>
          </rPr>
          <t xml:space="preserve">
was 2 Posn Stagger ((2550 1475 PW 44 22)</t>
        </r>
      </text>
    </comment>
    <comment ref="X45" authorId="2" shapeId="0" xr:uid="{00000000-0006-0000-0000-0000F6000000}">
      <text>
        <r>
          <rPr>
            <b/>
            <sz val="8"/>
            <color indexed="81"/>
            <rFont val="Tahoma"/>
            <family val="2"/>
          </rPr>
          <t>William J. Cramer:</t>
        </r>
        <r>
          <rPr>
            <sz val="8"/>
            <color indexed="81"/>
            <rFont val="Tahoma"/>
            <family val="2"/>
          </rPr>
          <t xml:space="preserve">
was 44</t>
        </r>
      </text>
    </comment>
    <comment ref="AB45" authorId="2" shapeId="0" xr:uid="{00000000-0006-0000-0000-0000F7000000}">
      <text>
        <r>
          <rPr>
            <b/>
            <sz val="8"/>
            <color indexed="81"/>
            <rFont val="Tahoma"/>
            <family val="2"/>
          </rPr>
          <t>William J. Cramer:</t>
        </r>
        <r>
          <rPr>
            <sz val="8"/>
            <color indexed="81"/>
            <rFont val="Tahoma"/>
            <family val="2"/>
          </rPr>
          <t xml:space="preserve">
was just MECHANICAL_AZIMUTH_UNIDIRECTIONAL</t>
        </r>
      </text>
    </comment>
    <comment ref="AD45" authorId="0" shapeId="0" xr:uid="{00000000-0006-0000-0000-0000F8000000}">
      <text>
        <r>
          <rPr>
            <b/>
            <sz val="8"/>
            <color indexed="81"/>
            <rFont val="Tahoma"/>
            <family val="2"/>
          </rPr>
          <t>sgt:</t>
        </r>
        <r>
          <rPr>
            <sz val="8"/>
            <color indexed="81"/>
            <rFont val="Tahoma"/>
            <family val="2"/>
          </rPr>
          <t xml:space="preserve">
was 0</t>
        </r>
      </text>
    </comment>
    <comment ref="BE45" authorId="2" shapeId="0" xr:uid="{00000000-0006-0000-0000-0000F9000000}">
      <text>
        <r>
          <rPr>
            <b/>
            <sz val="8"/>
            <color indexed="81"/>
            <rFont val="Tahoma"/>
            <family val="2"/>
          </rPr>
          <t>William J. Cramer:</t>
        </r>
        <r>
          <rPr>
            <sz val="8"/>
            <color indexed="81"/>
            <rFont val="Tahoma"/>
            <family val="2"/>
          </rPr>
          <t xml:space="preserve">
was 0</t>
        </r>
      </text>
    </comment>
    <comment ref="S46" authorId="2" shapeId="0" xr:uid="{00000000-0006-0000-0000-0000FA000000}">
      <text>
        <r>
          <rPr>
            <b/>
            <sz val="8"/>
            <color indexed="81"/>
            <rFont val="Tahoma"/>
            <family val="2"/>
          </rPr>
          <t>William J. Cramer:</t>
        </r>
        <r>
          <rPr>
            <sz val="8"/>
            <color indexed="81"/>
            <rFont val="Tahoma"/>
            <family val="2"/>
          </rPr>
          <t xml:space="preserve">
was 2550
was 2250</t>
        </r>
      </text>
    </comment>
    <comment ref="V46" authorId="2" shapeId="0" xr:uid="{00000000-0006-0000-0000-0000FB000000}">
      <text>
        <r>
          <rPr>
            <b/>
            <sz val="8"/>
            <color indexed="81"/>
            <rFont val="Tahoma"/>
            <family val="2"/>
          </rPr>
          <t>William J. Cramer:</t>
        </r>
        <r>
          <rPr>
            <sz val="8"/>
            <color indexed="81"/>
            <rFont val="Tahoma"/>
            <family val="2"/>
          </rPr>
          <t xml:space="preserve">
was 2 Posn Stagger ((2550 1475 PW 44 22)</t>
        </r>
      </text>
    </comment>
    <comment ref="X46" authorId="2" shapeId="0" xr:uid="{00000000-0006-0000-0000-0000FC000000}">
      <text>
        <r>
          <rPr>
            <b/>
            <sz val="8"/>
            <color indexed="81"/>
            <rFont val="Tahoma"/>
            <family val="2"/>
          </rPr>
          <t>William J. Cramer:</t>
        </r>
        <r>
          <rPr>
            <sz val="8"/>
            <color indexed="81"/>
            <rFont val="Tahoma"/>
            <family val="2"/>
          </rPr>
          <t xml:space="preserve">
was 44</t>
        </r>
      </text>
    </comment>
    <comment ref="AB46" authorId="2" shapeId="0" xr:uid="{00000000-0006-0000-0000-0000FD000000}">
      <text>
        <r>
          <rPr>
            <b/>
            <sz val="8"/>
            <color indexed="81"/>
            <rFont val="Tahoma"/>
            <family val="2"/>
          </rPr>
          <t>William J. Cramer:</t>
        </r>
        <r>
          <rPr>
            <sz val="8"/>
            <color indexed="81"/>
            <rFont val="Tahoma"/>
            <family val="2"/>
          </rPr>
          <t xml:space="preserve">
was just MECHANICAL_AZIMUTH_UNIDIRECTIONAL</t>
        </r>
      </text>
    </comment>
    <comment ref="AD46" authorId="0" shapeId="0" xr:uid="{00000000-0006-0000-0000-0000FE000000}">
      <text>
        <r>
          <rPr>
            <b/>
            <sz val="8"/>
            <color indexed="81"/>
            <rFont val="Tahoma"/>
            <family val="2"/>
          </rPr>
          <t>sgt:</t>
        </r>
        <r>
          <rPr>
            <sz val="8"/>
            <color indexed="81"/>
            <rFont val="Tahoma"/>
            <family val="2"/>
          </rPr>
          <t xml:space="preserve">
was 0</t>
        </r>
      </text>
    </comment>
    <comment ref="BE46" authorId="2" shapeId="0" xr:uid="{00000000-0006-0000-0000-0000FF000000}">
      <text>
        <r>
          <rPr>
            <b/>
            <sz val="8"/>
            <color indexed="81"/>
            <rFont val="Tahoma"/>
            <family val="2"/>
          </rPr>
          <t>William J. Cramer:</t>
        </r>
        <r>
          <rPr>
            <sz val="8"/>
            <color indexed="81"/>
            <rFont val="Tahoma"/>
            <family val="2"/>
          </rPr>
          <t xml:space="preserve">
was 0</t>
        </r>
      </text>
    </comment>
    <comment ref="L47" authorId="2" shapeId="0" xr:uid="{00000000-0006-0000-0000-000000010000}">
      <text>
        <r>
          <rPr>
            <b/>
            <sz val="8"/>
            <color indexed="81"/>
            <rFont val="Tahoma"/>
            <family val="2"/>
          </rPr>
          <t>William J. Cramer:</t>
        </r>
        <r>
          <rPr>
            <sz val="8"/>
            <color indexed="81"/>
            <rFont val="Tahoma"/>
            <family val="2"/>
          </rPr>
          <t xml:space="preserve">
was 2100</t>
        </r>
      </text>
    </comment>
    <comment ref="M47" authorId="2" shapeId="0" xr:uid="{00000000-0006-0000-0000-000001010000}">
      <text>
        <r>
          <rPr>
            <b/>
            <sz val="8"/>
            <color indexed="81"/>
            <rFont val="Tahoma"/>
            <family val="2"/>
          </rPr>
          <t>William J. Cramer:</t>
        </r>
        <r>
          <rPr>
            <sz val="8"/>
            <color indexed="81"/>
            <rFont val="Tahoma"/>
            <family val="2"/>
          </rPr>
          <t xml:space="preserve">
was 2300</t>
        </r>
      </text>
    </comment>
    <comment ref="Z47" authorId="2" shapeId="0" xr:uid="{00000000-0006-0000-0000-000002010000}">
      <text>
        <r>
          <rPr>
            <b/>
            <sz val="8"/>
            <color indexed="81"/>
            <rFont val="Tahoma"/>
            <family val="2"/>
          </rPr>
          <t>William J. Cramer:</t>
        </r>
        <r>
          <rPr>
            <sz val="8"/>
            <color indexed="81"/>
            <rFont val="Tahoma"/>
            <family val="2"/>
          </rPr>
          <t xml:space="preserve">
was 8</t>
        </r>
      </text>
    </comment>
    <comment ref="AA47" authorId="2" shapeId="0" xr:uid="{00000000-0006-0000-0000-000003010000}">
      <text>
        <r>
          <rPr>
            <b/>
            <sz val="8"/>
            <color indexed="81"/>
            <rFont val="Tahoma"/>
            <family val="2"/>
          </rPr>
          <t>William J. Cramer:</t>
        </r>
        <r>
          <rPr>
            <sz val="8"/>
            <color indexed="81"/>
            <rFont val="Tahoma"/>
            <family val="2"/>
          </rPr>
          <t xml:space="preserve">
was 10</t>
        </r>
      </text>
    </comment>
    <comment ref="AB47" authorId="2" shapeId="0" xr:uid="{00000000-0006-0000-0000-000004010000}">
      <text>
        <r>
          <rPr>
            <b/>
            <sz val="8"/>
            <color indexed="81"/>
            <rFont val="Tahoma"/>
            <family val="2"/>
          </rPr>
          <t>William J. Cramer:</t>
        </r>
        <r>
          <rPr>
            <sz val="8"/>
            <color indexed="81"/>
            <rFont val="Tahoma"/>
            <family val="2"/>
          </rPr>
          <t xml:space="preserve">
was ELECTRICAL_AZIMUTH_BIDIRECTIONAL
(5 bars x 45 beams/bar, 25pri/beam)</t>
        </r>
      </text>
    </comment>
    <comment ref="AF47" authorId="2" shapeId="0" xr:uid="{00000000-0006-0000-0000-000005010000}">
      <text>
        <r>
          <rPr>
            <b/>
            <sz val="8"/>
            <color indexed="81"/>
            <rFont val="Tahoma"/>
            <family val="2"/>
          </rPr>
          <t>William J. Cramer:</t>
        </r>
        <r>
          <rPr>
            <sz val="8"/>
            <color indexed="81"/>
            <rFont val="Tahoma"/>
            <family val="2"/>
          </rPr>
          <t xml:space="preserve">
was 0</t>
        </r>
      </text>
    </comment>
    <comment ref="AR47" authorId="2" shapeId="0" xr:uid="{00000000-0006-0000-0000-000006010000}">
      <text>
        <r>
          <rPr>
            <b/>
            <sz val="8"/>
            <color indexed="81"/>
            <rFont val="Tahoma"/>
            <family val="2"/>
          </rPr>
          <t>William J. Cramer:</t>
        </r>
        <r>
          <rPr>
            <sz val="8"/>
            <color indexed="81"/>
            <rFont val="Tahoma"/>
            <family val="2"/>
          </rPr>
          <t xml:space="preserve">
was 5</t>
        </r>
      </text>
    </comment>
    <comment ref="AS47" authorId="2" shapeId="0" xr:uid="{00000000-0006-0000-0000-000007010000}">
      <text>
        <r>
          <rPr>
            <b/>
            <sz val="8"/>
            <color indexed="81"/>
            <rFont val="Tahoma"/>
            <family val="2"/>
          </rPr>
          <t>William J. Cramer:</t>
        </r>
        <r>
          <rPr>
            <sz val="8"/>
            <color indexed="81"/>
            <rFont val="Tahoma"/>
            <family val="2"/>
          </rPr>
          <t xml:space="preserve">
was 5</t>
        </r>
      </text>
    </comment>
    <comment ref="AY47" authorId="2" shapeId="0" xr:uid="{00000000-0006-0000-0000-000008010000}">
      <text>
        <r>
          <rPr>
            <b/>
            <sz val="8"/>
            <color indexed="81"/>
            <rFont val="Tahoma"/>
            <family val="2"/>
          </rPr>
          <t>William J. Cramer:</t>
        </r>
        <r>
          <rPr>
            <sz val="8"/>
            <color indexed="81"/>
            <rFont val="Tahoma"/>
            <family val="2"/>
          </rPr>
          <t xml:space="preserve">
was 1</t>
        </r>
      </text>
    </comment>
    <comment ref="AZ47" authorId="2" shapeId="0" xr:uid="{00000000-0006-0000-0000-000009010000}">
      <text>
        <r>
          <rPr>
            <b/>
            <sz val="8"/>
            <color indexed="81"/>
            <rFont val="Tahoma"/>
            <family val="2"/>
          </rPr>
          <t>William J. Cramer:</t>
        </r>
        <r>
          <rPr>
            <sz val="8"/>
            <color indexed="81"/>
            <rFont val="Tahoma"/>
            <family val="2"/>
          </rPr>
          <t xml:space="preserve">
was 0</t>
        </r>
      </text>
    </comment>
    <comment ref="BE47" authorId="2" shapeId="0" xr:uid="{00000000-0006-0000-0000-00000A010000}">
      <text>
        <r>
          <rPr>
            <b/>
            <sz val="8"/>
            <color indexed="81"/>
            <rFont val="Tahoma"/>
            <family val="2"/>
          </rPr>
          <t>William J. Cramer:</t>
        </r>
        <r>
          <rPr>
            <sz val="8"/>
            <color indexed="81"/>
            <rFont val="Tahoma"/>
            <family val="2"/>
          </rPr>
          <t xml:space="preserve">
was 0</t>
        </r>
      </text>
    </comment>
    <comment ref="AD48" authorId="0" shapeId="0" xr:uid="{00000000-0006-0000-0000-00000B010000}">
      <text>
        <r>
          <rPr>
            <b/>
            <sz val="8"/>
            <color indexed="81"/>
            <rFont val="Tahoma"/>
            <family val="2"/>
          </rPr>
          <t>sgt:</t>
        </r>
        <r>
          <rPr>
            <sz val="8"/>
            <color indexed="81"/>
            <rFont val="Tahoma"/>
            <family val="2"/>
          </rPr>
          <t xml:space="preserve">
was 0</t>
        </r>
      </text>
    </comment>
    <comment ref="AD49" authorId="0" shapeId="0" xr:uid="{00000000-0006-0000-0000-00000C010000}">
      <text>
        <r>
          <rPr>
            <b/>
            <sz val="8"/>
            <color indexed="81"/>
            <rFont val="Tahoma"/>
            <family val="2"/>
          </rPr>
          <t>sgt:</t>
        </r>
        <r>
          <rPr>
            <sz val="8"/>
            <color indexed="81"/>
            <rFont val="Tahoma"/>
            <family val="2"/>
          </rPr>
          <t xml:space="preserve">
was 0</t>
        </r>
      </text>
    </comment>
    <comment ref="AD50" authorId="0" shapeId="0" xr:uid="{00000000-0006-0000-0000-00000E010000}">
      <text>
        <r>
          <rPr>
            <b/>
            <sz val="8"/>
            <color indexed="81"/>
            <rFont val="Tahoma"/>
            <family val="2"/>
          </rPr>
          <t>sgt:</t>
        </r>
        <r>
          <rPr>
            <sz val="8"/>
            <color indexed="81"/>
            <rFont val="Tahoma"/>
            <family val="2"/>
          </rPr>
          <t xml:space="preserve">
was 0</t>
        </r>
      </text>
    </comment>
    <comment ref="BD50" authorId="2" shapeId="0" xr:uid="{00000000-0006-0000-0000-00000F010000}">
      <text>
        <r>
          <rPr>
            <b/>
            <sz val="8"/>
            <color indexed="81"/>
            <rFont val="Tahoma"/>
            <family val="2"/>
          </rPr>
          <t>William J. Cramer:</t>
        </r>
        <r>
          <rPr>
            <sz val="8"/>
            <color indexed="81"/>
            <rFont val="Tahoma"/>
            <family val="2"/>
          </rPr>
          <t xml:space="preserve">
was 0</t>
        </r>
      </text>
    </comment>
    <comment ref="BE50" authorId="2" shapeId="0" xr:uid="{00000000-0006-0000-0000-000010010000}">
      <text>
        <r>
          <rPr>
            <b/>
            <sz val="8"/>
            <color indexed="81"/>
            <rFont val="Tahoma"/>
            <family val="2"/>
          </rPr>
          <t>William J. Cramer:</t>
        </r>
        <r>
          <rPr>
            <sz val="8"/>
            <color indexed="81"/>
            <rFont val="Tahoma"/>
            <family val="2"/>
          </rPr>
          <t xml:space="preserve">
was 0</t>
        </r>
      </text>
    </comment>
    <comment ref="AD51" authorId="0" shapeId="0" xr:uid="{00000000-0006-0000-0000-000012010000}">
      <text>
        <r>
          <rPr>
            <b/>
            <sz val="8"/>
            <color indexed="81"/>
            <rFont val="Tahoma"/>
            <family val="2"/>
          </rPr>
          <t>sgt:</t>
        </r>
        <r>
          <rPr>
            <sz val="8"/>
            <color indexed="81"/>
            <rFont val="Tahoma"/>
            <family val="2"/>
          </rPr>
          <t xml:space="preserve">
was 0</t>
        </r>
      </text>
    </comment>
    <comment ref="BD51" authorId="2" shapeId="0" xr:uid="{00000000-0006-0000-0000-000013010000}">
      <text>
        <r>
          <rPr>
            <b/>
            <sz val="8"/>
            <color indexed="81"/>
            <rFont val="Tahoma"/>
            <family val="2"/>
          </rPr>
          <t>William J. Cramer:</t>
        </r>
        <r>
          <rPr>
            <sz val="8"/>
            <color indexed="81"/>
            <rFont val="Tahoma"/>
            <family val="2"/>
          </rPr>
          <t xml:space="preserve">
was 0</t>
        </r>
      </text>
    </comment>
    <comment ref="BE51" authorId="2" shapeId="0" xr:uid="{00000000-0006-0000-0000-000014010000}">
      <text>
        <r>
          <rPr>
            <b/>
            <sz val="8"/>
            <color indexed="81"/>
            <rFont val="Tahoma"/>
            <family val="2"/>
          </rPr>
          <t>William J. Cramer:</t>
        </r>
        <r>
          <rPr>
            <sz val="8"/>
            <color indexed="81"/>
            <rFont val="Tahoma"/>
            <family val="2"/>
          </rPr>
          <t xml:space="preserve">
was 0</t>
        </r>
      </text>
    </comment>
    <comment ref="AD52" authorId="0" shapeId="0" xr:uid="{00000000-0006-0000-0000-000016010000}">
      <text>
        <r>
          <rPr>
            <b/>
            <sz val="8"/>
            <color indexed="81"/>
            <rFont val="Tahoma"/>
            <family val="2"/>
          </rPr>
          <t>sgt:</t>
        </r>
        <r>
          <rPr>
            <sz val="8"/>
            <color indexed="81"/>
            <rFont val="Tahoma"/>
            <family val="2"/>
          </rPr>
          <t xml:space="preserve">
was 0</t>
        </r>
      </text>
    </comment>
    <comment ref="BD52" authorId="2" shapeId="0" xr:uid="{00000000-0006-0000-0000-000017010000}">
      <text>
        <r>
          <rPr>
            <b/>
            <sz val="8"/>
            <color indexed="81"/>
            <rFont val="Tahoma"/>
            <family val="2"/>
          </rPr>
          <t>William J. Cramer:</t>
        </r>
        <r>
          <rPr>
            <sz val="8"/>
            <color indexed="81"/>
            <rFont val="Tahoma"/>
            <family val="2"/>
          </rPr>
          <t xml:space="preserve">
was 0</t>
        </r>
      </text>
    </comment>
    <comment ref="BE52" authorId="2" shapeId="0" xr:uid="{00000000-0006-0000-0000-000018010000}">
      <text>
        <r>
          <rPr>
            <b/>
            <sz val="8"/>
            <color indexed="81"/>
            <rFont val="Tahoma"/>
            <family val="2"/>
          </rPr>
          <t>William J. Cramer:</t>
        </r>
        <r>
          <rPr>
            <sz val="8"/>
            <color indexed="81"/>
            <rFont val="Tahoma"/>
            <family val="2"/>
          </rPr>
          <t xml:space="preserve">
was 0</t>
        </r>
      </text>
    </comment>
    <comment ref="AI53" authorId="0" shapeId="0" xr:uid="{00000000-0006-0000-0000-000019010000}">
      <text>
        <r>
          <rPr>
            <b/>
            <sz val="8"/>
            <color indexed="81"/>
            <rFont val="Tahoma"/>
            <family val="2"/>
          </rPr>
          <t>sgt:</t>
        </r>
        <r>
          <rPr>
            <sz val="8"/>
            <color indexed="81"/>
            <rFont val="Tahoma"/>
            <family val="2"/>
          </rPr>
          <t xml:space="preserve">
was 30</t>
        </r>
      </text>
    </comment>
    <comment ref="AJ53" authorId="2" shapeId="0" xr:uid="{00000000-0006-0000-0000-00001A010000}">
      <text>
        <r>
          <rPr>
            <b/>
            <sz val="8"/>
            <color indexed="81"/>
            <rFont val="Tahoma"/>
            <family val="2"/>
          </rPr>
          <t>William J. Cramer:</t>
        </r>
        <r>
          <rPr>
            <sz val="8"/>
            <color indexed="81"/>
            <rFont val="Tahoma"/>
            <family val="2"/>
          </rPr>
          <t xml:space="preserve">
was 30</t>
        </r>
      </text>
    </comment>
    <comment ref="AR53" authorId="2" shapeId="0" xr:uid="{00000000-0006-0000-0000-00001B010000}">
      <text>
        <r>
          <rPr>
            <b/>
            <sz val="8"/>
            <color indexed="81"/>
            <rFont val="Tahoma"/>
            <family val="2"/>
          </rPr>
          <t>William J. Cramer:</t>
        </r>
        <r>
          <rPr>
            <sz val="8"/>
            <color indexed="81"/>
            <rFont val="Tahoma"/>
            <family val="2"/>
          </rPr>
          <t xml:space="preserve">
was 1</t>
        </r>
      </text>
    </comment>
    <comment ref="AS53" authorId="2" shapeId="0" xr:uid="{00000000-0006-0000-0000-00001C010000}">
      <text>
        <r>
          <rPr>
            <b/>
            <sz val="8"/>
            <color indexed="81"/>
            <rFont val="Tahoma"/>
            <family val="2"/>
          </rPr>
          <t>William J. Cramer:</t>
        </r>
        <r>
          <rPr>
            <sz val="8"/>
            <color indexed="81"/>
            <rFont val="Tahoma"/>
            <family val="2"/>
          </rPr>
          <t xml:space="preserve">
was 6</t>
        </r>
      </text>
    </comment>
    <comment ref="AZ53" authorId="0" shapeId="0" xr:uid="{00000000-0006-0000-0000-00001D010000}">
      <text>
        <r>
          <rPr>
            <b/>
            <sz val="8"/>
            <color indexed="81"/>
            <rFont val="Tahoma"/>
            <family val="2"/>
          </rPr>
          <t>sgt:</t>
        </r>
        <r>
          <rPr>
            <sz val="8"/>
            <color indexed="81"/>
            <rFont val="Tahoma"/>
            <family val="2"/>
          </rPr>
          <t xml:space="preserve">
was 7</t>
        </r>
      </text>
    </comment>
    <comment ref="BX53" authorId="2" shapeId="0" xr:uid="{00000000-0006-0000-0000-00001E010000}">
      <text>
        <r>
          <rPr>
            <b/>
            <sz val="8"/>
            <color indexed="81"/>
            <rFont val="Tahoma"/>
            <family val="2"/>
          </rPr>
          <t>William J. Cramer:</t>
        </r>
        <r>
          <rPr>
            <sz val="8"/>
            <color indexed="81"/>
            <rFont val="Tahoma"/>
            <family val="2"/>
          </rPr>
          <t xml:space="preserve">
was yes, but changed due to it being FRIENDLY</t>
        </r>
      </text>
    </comment>
    <comment ref="BX54" authorId="2" shapeId="0" xr:uid="{00000000-0006-0000-0000-00001F010000}">
      <text>
        <r>
          <rPr>
            <b/>
            <sz val="8"/>
            <color indexed="81"/>
            <rFont val="Tahoma"/>
            <family val="2"/>
          </rPr>
          <t>William J. Cramer:</t>
        </r>
        <r>
          <rPr>
            <sz val="8"/>
            <color indexed="81"/>
            <rFont val="Tahoma"/>
            <family val="2"/>
          </rPr>
          <t xml:space="preserve">
was yes, but changed due to it being FRIENDLY</t>
        </r>
      </text>
    </comment>
    <comment ref="AD55" authorId="0" shapeId="0" xr:uid="{00000000-0006-0000-0000-000021010000}">
      <text>
        <r>
          <rPr>
            <b/>
            <sz val="8"/>
            <color indexed="81"/>
            <rFont val="Tahoma"/>
            <family val="2"/>
          </rPr>
          <t>sgt:</t>
        </r>
        <r>
          <rPr>
            <sz val="8"/>
            <color indexed="81"/>
            <rFont val="Tahoma"/>
            <family val="2"/>
          </rPr>
          <t xml:space="preserve">
was 0</t>
        </r>
      </text>
    </comment>
    <comment ref="AD56" authorId="0" shapeId="0" xr:uid="{00000000-0006-0000-0000-000023010000}">
      <text>
        <r>
          <rPr>
            <b/>
            <sz val="8"/>
            <color indexed="81"/>
            <rFont val="Tahoma"/>
            <family val="2"/>
          </rPr>
          <t>sgt:</t>
        </r>
        <r>
          <rPr>
            <sz val="8"/>
            <color indexed="81"/>
            <rFont val="Tahoma"/>
            <family val="2"/>
          </rPr>
          <t xml:space="preserve">
was 0</t>
        </r>
      </text>
    </comment>
    <comment ref="AD57" authorId="0" shapeId="0" xr:uid="{00000000-0006-0000-0000-000025010000}">
      <text>
        <r>
          <rPr>
            <b/>
            <sz val="8"/>
            <color indexed="81"/>
            <rFont val="Tahoma"/>
            <family val="2"/>
          </rPr>
          <t>sgt:</t>
        </r>
        <r>
          <rPr>
            <sz val="8"/>
            <color indexed="81"/>
            <rFont val="Tahoma"/>
            <family val="2"/>
          </rPr>
          <t xml:space="preserve">
was 0</t>
        </r>
      </text>
    </comment>
    <comment ref="AD58" authorId="0" shapeId="0" xr:uid="{00000000-0006-0000-0000-000027010000}">
      <text>
        <r>
          <rPr>
            <b/>
            <sz val="8"/>
            <color indexed="81"/>
            <rFont val="Tahoma"/>
            <family val="2"/>
          </rPr>
          <t>sgt:</t>
        </r>
        <r>
          <rPr>
            <sz val="8"/>
            <color indexed="81"/>
            <rFont val="Tahoma"/>
            <family val="2"/>
          </rPr>
          <t xml:space="preserve">
was 0</t>
        </r>
      </text>
    </comment>
    <comment ref="AD59" authorId="0" shapeId="0" xr:uid="{00000000-0006-0000-0000-000029010000}">
      <text>
        <r>
          <rPr>
            <b/>
            <sz val="8"/>
            <color indexed="81"/>
            <rFont val="Tahoma"/>
            <family val="2"/>
          </rPr>
          <t>sgt:</t>
        </r>
        <r>
          <rPr>
            <sz val="8"/>
            <color indexed="81"/>
            <rFont val="Tahoma"/>
            <family val="2"/>
          </rPr>
          <t xml:space="preserve">
was 0</t>
        </r>
      </text>
    </comment>
    <comment ref="AD60" authorId="0" shapeId="0" xr:uid="{00000000-0006-0000-0000-00002B010000}">
      <text>
        <r>
          <rPr>
            <b/>
            <sz val="8"/>
            <color indexed="81"/>
            <rFont val="Tahoma"/>
            <family val="2"/>
          </rPr>
          <t>sgt:</t>
        </r>
        <r>
          <rPr>
            <sz val="8"/>
            <color indexed="81"/>
            <rFont val="Tahoma"/>
            <family val="2"/>
          </rPr>
          <t xml:space="preserve">
was 0</t>
        </r>
      </text>
    </comment>
    <comment ref="Z61" authorId="0" shapeId="0" xr:uid="{00000000-0006-0000-0000-00002C010000}">
      <text>
        <r>
          <rPr>
            <b/>
            <sz val="8"/>
            <color indexed="81"/>
            <rFont val="Tahoma"/>
            <family val="2"/>
          </rPr>
          <t>sgt:</t>
        </r>
        <r>
          <rPr>
            <sz val="8"/>
            <color indexed="81"/>
            <rFont val="Tahoma"/>
            <family val="2"/>
          </rPr>
          <t xml:space="preserve">
was 5</t>
        </r>
      </text>
    </comment>
    <comment ref="AA61" authorId="0" shapeId="0" xr:uid="{00000000-0006-0000-0000-00002D010000}">
      <text>
        <r>
          <rPr>
            <b/>
            <sz val="8"/>
            <color indexed="81"/>
            <rFont val="Tahoma"/>
            <family val="2"/>
          </rPr>
          <t>sgt:</t>
        </r>
        <r>
          <rPr>
            <sz val="8"/>
            <color indexed="81"/>
            <rFont val="Tahoma"/>
            <family val="2"/>
          </rPr>
          <t xml:space="preserve">
was 4</t>
        </r>
      </text>
    </comment>
    <comment ref="AD61" authorId="0" shapeId="0" xr:uid="{00000000-0006-0000-0000-00002F010000}">
      <text>
        <r>
          <rPr>
            <b/>
            <sz val="8"/>
            <color indexed="81"/>
            <rFont val="Tahoma"/>
            <family val="2"/>
          </rPr>
          <t>sgt:</t>
        </r>
        <r>
          <rPr>
            <sz val="8"/>
            <color indexed="81"/>
            <rFont val="Tahoma"/>
            <family val="2"/>
          </rPr>
          <t xml:space="preserve">
was 0</t>
        </r>
      </text>
    </comment>
    <comment ref="BE61" authorId="2" shapeId="0" xr:uid="{00000000-0006-0000-0000-000030010000}">
      <text>
        <r>
          <rPr>
            <b/>
            <sz val="8"/>
            <color indexed="81"/>
            <rFont val="Tahoma"/>
            <family val="2"/>
          </rPr>
          <t>William J. Cramer:</t>
        </r>
        <r>
          <rPr>
            <sz val="8"/>
            <color indexed="81"/>
            <rFont val="Tahoma"/>
            <family val="2"/>
          </rPr>
          <t xml:space="preserve">
was 0</t>
        </r>
      </text>
    </comment>
    <comment ref="Z62" authorId="0" shapeId="0" xr:uid="{00000000-0006-0000-0000-000031010000}">
      <text>
        <r>
          <rPr>
            <b/>
            <sz val="8"/>
            <color indexed="81"/>
            <rFont val="Tahoma"/>
            <family val="2"/>
          </rPr>
          <t>sgt:</t>
        </r>
        <r>
          <rPr>
            <sz val="8"/>
            <color indexed="81"/>
            <rFont val="Tahoma"/>
            <family val="2"/>
          </rPr>
          <t xml:space="preserve">
was 5</t>
        </r>
      </text>
    </comment>
    <comment ref="AA62" authorId="0" shapeId="0" xr:uid="{00000000-0006-0000-0000-000032010000}">
      <text>
        <r>
          <rPr>
            <b/>
            <sz val="8"/>
            <color indexed="81"/>
            <rFont val="Tahoma"/>
            <family val="2"/>
          </rPr>
          <t>sgt:</t>
        </r>
        <r>
          <rPr>
            <sz val="8"/>
            <color indexed="81"/>
            <rFont val="Tahoma"/>
            <family val="2"/>
          </rPr>
          <t xml:space="preserve">
was 4</t>
        </r>
      </text>
    </comment>
    <comment ref="AD62" authorId="0" shapeId="0" xr:uid="{00000000-0006-0000-0000-000034010000}">
      <text>
        <r>
          <rPr>
            <b/>
            <sz val="8"/>
            <color indexed="81"/>
            <rFont val="Tahoma"/>
            <family val="2"/>
          </rPr>
          <t>Steven G. Todd:</t>
        </r>
        <r>
          <rPr>
            <sz val="8"/>
            <color indexed="81"/>
            <rFont val="Tahoma"/>
            <family val="2"/>
          </rPr>
          <t xml:space="preserve">
was 0</t>
        </r>
      </text>
    </comment>
    <comment ref="BE62" authorId="2" shapeId="0" xr:uid="{00000000-0006-0000-0000-000035010000}">
      <text>
        <r>
          <rPr>
            <b/>
            <sz val="8"/>
            <color indexed="81"/>
            <rFont val="Tahoma"/>
            <family val="2"/>
          </rPr>
          <t>William J. Cramer:</t>
        </r>
        <r>
          <rPr>
            <sz val="8"/>
            <color indexed="81"/>
            <rFont val="Tahoma"/>
            <family val="2"/>
          </rPr>
          <t xml:space="preserve">
was 0</t>
        </r>
      </text>
    </comment>
    <comment ref="AL63" authorId="0" shapeId="0" xr:uid="{00000000-0006-0000-0000-000036010000}">
      <text>
        <r>
          <rPr>
            <b/>
            <sz val="8"/>
            <color indexed="81"/>
            <rFont val="Tahoma"/>
            <family val="2"/>
          </rPr>
          <t>sgt:</t>
        </r>
        <r>
          <rPr>
            <sz val="8"/>
            <color indexed="81"/>
            <rFont val="Tahoma"/>
            <family val="2"/>
          </rPr>
          <t xml:space="preserve">
was 115
decreased to 100 to get comparable power for co-located emitters</t>
        </r>
      </text>
    </comment>
    <comment ref="BW63" authorId="0" shapeId="0" xr:uid="{00000000-0006-0000-0000-000037010000}">
      <text>
        <r>
          <rPr>
            <b/>
            <sz val="8"/>
            <color indexed="81"/>
            <rFont val="Tahoma"/>
            <family val="2"/>
          </rPr>
          <t>sgt:</t>
        </r>
        <r>
          <rPr>
            <sz val="8"/>
            <color indexed="81"/>
            <rFont val="Tahoma"/>
            <family val="2"/>
          </rPr>
          <t xml:space="preserve">
simultaneous cross-scanning antennae should be scan type 0 for separate az  &amp; el scans.</t>
        </r>
      </text>
    </comment>
    <comment ref="AD64" authorId="0" shapeId="0" xr:uid="{00000000-0006-0000-0000-000038010000}">
      <text>
        <r>
          <rPr>
            <b/>
            <sz val="8"/>
            <color indexed="81"/>
            <rFont val="Tahoma"/>
            <family val="2"/>
          </rPr>
          <t>sgt:</t>
        </r>
        <r>
          <rPr>
            <sz val="8"/>
            <color indexed="81"/>
            <rFont val="Tahoma"/>
            <family val="2"/>
          </rPr>
          <t xml:space="preserve">
was 0</t>
        </r>
      </text>
    </comment>
    <comment ref="AZ64" authorId="0" shapeId="0" xr:uid="{00000000-0006-0000-0000-000039010000}">
      <text>
        <r>
          <rPr>
            <b/>
            <sz val="8"/>
            <color indexed="81"/>
            <rFont val="Tahoma"/>
            <family val="2"/>
          </rPr>
          <t>sgt:</t>
        </r>
        <r>
          <rPr>
            <sz val="8"/>
            <color indexed="81"/>
            <rFont val="Tahoma"/>
            <family val="2"/>
          </rPr>
          <t xml:space="preserve">
was 5</t>
        </r>
      </text>
    </comment>
    <comment ref="AG65" authorId="0" shapeId="0" xr:uid="{00000000-0006-0000-0000-00003A010000}">
      <text>
        <r>
          <rPr>
            <b/>
            <sz val="8"/>
            <color indexed="81"/>
            <rFont val="Tahoma"/>
            <family val="2"/>
          </rPr>
          <t>sgt:</t>
        </r>
        <r>
          <rPr>
            <sz val="8"/>
            <color indexed="81"/>
            <rFont val="Tahoma"/>
            <family val="2"/>
          </rPr>
          <t xml:space="preserve">
was 2
</t>
        </r>
      </text>
    </comment>
    <comment ref="AH65" authorId="0" shapeId="0" xr:uid="{00000000-0006-0000-0000-00003B010000}">
      <text>
        <r>
          <rPr>
            <b/>
            <sz val="8"/>
            <color indexed="81"/>
            <rFont val="Tahoma"/>
            <family val="2"/>
          </rPr>
          <t>sgt:</t>
        </r>
        <r>
          <rPr>
            <sz val="8"/>
            <color indexed="81"/>
            <rFont val="Tahoma"/>
            <family val="2"/>
          </rPr>
          <t xml:space="preserve">
was 5</t>
        </r>
      </text>
    </comment>
    <comment ref="AS65" authorId="0" shapeId="0" xr:uid="{00000000-0006-0000-0000-00003C010000}">
      <text>
        <r>
          <rPr>
            <b/>
            <sz val="8"/>
            <color indexed="81"/>
            <rFont val="Tahoma"/>
            <family val="2"/>
          </rPr>
          <t>sgt:</t>
        </r>
        <r>
          <rPr>
            <sz val="8"/>
            <color indexed="81"/>
            <rFont val="Tahoma"/>
            <family val="2"/>
          </rPr>
          <t xml:space="preserve">
was 0</t>
        </r>
      </text>
    </comment>
    <comment ref="AZ65" authorId="0" shapeId="0" xr:uid="{00000000-0006-0000-0000-00003D010000}">
      <text>
        <r>
          <rPr>
            <b/>
            <sz val="8"/>
            <color indexed="81"/>
            <rFont val="Tahoma"/>
            <family val="2"/>
          </rPr>
          <t>sgt:</t>
        </r>
        <r>
          <rPr>
            <sz val="8"/>
            <color indexed="81"/>
            <rFont val="Tahoma"/>
            <family val="2"/>
          </rPr>
          <t xml:space="preserve">
was 5</t>
        </r>
      </text>
    </comment>
    <comment ref="BD65" authorId="0" shapeId="0" xr:uid="{00000000-0006-0000-0000-00003E010000}">
      <text>
        <r>
          <rPr>
            <b/>
            <sz val="8"/>
            <color indexed="81"/>
            <rFont val="Tahoma"/>
            <family val="2"/>
          </rPr>
          <t>wjc:</t>
        </r>
        <r>
          <rPr>
            <sz val="8"/>
            <color indexed="81"/>
            <rFont val="Tahoma"/>
            <family val="2"/>
          </rPr>
          <t xml:space="preserve">
was 0</t>
        </r>
      </text>
    </comment>
    <comment ref="Z67" authorId="0" shapeId="0" xr:uid="{00000000-0006-0000-0000-00003F010000}">
      <text>
        <r>
          <rPr>
            <b/>
            <sz val="8"/>
            <color indexed="81"/>
            <rFont val="Tahoma"/>
            <family val="2"/>
          </rPr>
          <t>sgt:</t>
        </r>
        <r>
          <rPr>
            <sz val="8"/>
            <color indexed="81"/>
            <rFont val="Tahoma"/>
            <family val="2"/>
          </rPr>
          <t xml:space="preserve">
was 11</t>
        </r>
      </text>
    </comment>
    <comment ref="AA67" authorId="0" shapeId="0" xr:uid="{00000000-0006-0000-0000-000040010000}">
      <text>
        <r>
          <rPr>
            <b/>
            <sz val="8"/>
            <color indexed="81"/>
            <rFont val="Tahoma"/>
            <family val="2"/>
          </rPr>
          <t>sgt:</t>
        </r>
        <r>
          <rPr>
            <sz val="8"/>
            <color indexed="81"/>
            <rFont val="Tahoma"/>
            <family val="2"/>
          </rPr>
          <t xml:space="preserve">
was 4</t>
        </r>
      </text>
    </comment>
    <comment ref="AH67" authorId="0" shapeId="0" xr:uid="{00000000-0006-0000-0000-000042010000}">
      <text>
        <r>
          <rPr>
            <b/>
            <sz val="8"/>
            <color indexed="81"/>
            <rFont val="Tahoma"/>
            <family val="2"/>
          </rPr>
          <t>sgt:</t>
        </r>
        <r>
          <rPr>
            <sz val="8"/>
            <color indexed="81"/>
            <rFont val="Tahoma"/>
            <family val="2"/>
          </rPr>
          <t xml:space="preserve">
was 6</t>
        </r>
      </text>
    </comment>
    <comment ref="AS67" authorId="2" shapeId="0" xr:uid="{00000000-0006-0000-0000-000043010000}">
      <text>
        <r>
          <rPr>
            <b/>
            <sz val="8"/>
            <color indexed="81"/>
            <rFont val="Tahoma"/>
            <family val="2"/>
          </rPr>
          <t>William J. Cramer:</t>
        </r>
        <r>
          <rPr>
            <sz val="8"/>
            <color indexed="81"/>
            <rFont val="Tahoma"/>
            <family val="2"/>
          </rPr>
          <t xml:space="preserve">
was 0</t>
        </r>
      </text>
    </comment>
    <comment ref="BE67" authorId="2" shapeId="0" xr:uid="{00000000-0006-0000-0000-000044010000}">
      <text>
        <r>
          <rPr>
            <b/>
            <sz val="8"/>
            <color indexed="81"/>
            <rFont val="Tahoma"/>
            <family val="2"/>
          </rPr>
          <t>William J. Cramer:</t>
        </r>
        <r>
          <rPr>
            <sz val="8"/>
            <color indexed="81"/>
            <rFont val="Tahoma"/>
            <family val="2"/>
          </rPr>
          <t xml:space="preserve">
was 0</t>
        </r>
      </text>
    </comment>
    <comment ref="Z68" authorId="0" shapeId="0" xr:uid="{00000000-0006-0000-0000-000045010000}">
      <text>
        <r>
          <rPr>
            <b/>
            <sz val="8"/>
            <color indexed="81"/>
            <rFont val="Tahoma"/>
            <family val="2"/>
          </rPr>
          <t>sgt:</t>
        </r>
        <r>
          <rPr>
            <sz val="8"/>
            <color indexed="81"/>
            <rFont val="Tahoma"/>
            <family val="2"/>
          </rPr>
          <t xml:space="preserve">
was 2</t>
        </r>
      </text>
    </comment>
    <comment ref="AA68" authorId="0" shapeId="0" xr:uid="{00000000-0006-0000-0000-000046010000}">
      <text>
        <r>
          <rPr>
            <b/>
            <sz val="8"/>
            <color indexed="81"/>
            <rFont val="Tahoma"/>
            <family val="2"/>
          </rPr>
          <t>sgt:</t>
        </r>
        <r>
          <rPr>
            <sz val="8"/>
            <color indexed="81"/>
            <rFont val="Tahoma"/>
            <family val="2"/>
          </rPr>
          <t xml:space="preserve">
was 2</t>
        </r>
      </text>
    </comment>
    <comment ref="AH68" authorId="0" shapeId="0" xr:uid="{00000000-0006-0000-0000-000047010000}">
      <text>
        <r>
          <rPr>
            <b/>
            <sz val="8"/>
            <color indexed="81"/>
            <rFont val="Tahoma"/>
            <family val="2"/>
          </rPr>
          <t>sgt:</t>
        </r>
        <r>
          <rPr>
            <sz val="8"/>
            <color indexed="81"/>
            <rFont val="Tahoma"/>
            <family val="2"/>
          </rPr>
          <t xml:space="preserve">
was 5</t>
        </r>
      </text>
    </comment>
    <comment ref="AI68" authorId="2" shapeId="0" xr:uid="{00000000-0006-0000-0000-000048010000}">
      <text>
        <r>
          <rPr>
            <b/>
            <sz val="8"/>
            <color indexed="81"/>
            <rFont val="Tahoma"/>
            <family val="2"/>
          </rPr>
          <t>William J. Cramer:</t>
        </r>
        <r>
          <rPr>
            <sz val="8"/>
            <color indexed="81"/>
            <rFont val="Tahoma"/>
            <family val="2"/>
          </rPr>
          <t xml:space="preserve">
was 5</t>
        </r>
      </text>
    </comment>
    <comment ref="AL68" authorId="0" shapeId="0" xr:uid="{00000000-0006-0000-0000-000049010000}">
      <text>
        <r>
          <rPr>
            <b/>
            <sz val="8"/>
            <color indexed="81"/>
            <rFont val="Tahoma"/>
            <family val="2"/>
          </rPr>
          <t>sgt:</t>
        </r>
        <r>
          <rPr>
            <sz val="8"/>
            <color indexed="81"/>
            <rFont val="Tahoma"/>
            <family val="2"/>
          </rPr>
          <t xml:space="preserve">
was 90
increased to 100 to get reasonable power at expected look angles</t>
        </r>
      </text>
    </comment>
    <comment ref="AR68" authorId="0" shapeId="0" xr:uid="{00000000-0006-0000-0000-00004A010000}">
      <text>
        <r>
          <rPr>
            <b/>
            <sz val="8"/>
            <color indexed="81"/>
            <rFont val="Tahoma"/>
            <family val="2"/>
          </rPr>
          <t>sgt:</t>
        </r>
        <r>
          <rPr>
            <sz val="8"/>
            <color indexed="81"/>
            <rFont val="Tahoma"/>
            <family val="2"/>
          </rPr>
          <t xml:space="preserve">
was 12</t>
        </r>
      </text>
    </comment>
    <comment ref="AS68" authorId="0" shapeId="0" xr:uid="{00000000-0006-0000-0000-00004B010000}">
      <text>
        <r>
          <rPr>
            <b/>
            <sz val="8"/>
            <color indexed="81"/>
            <rFont val="Tahoma"/>
            <family val="2"/>
          </rPr>
          <t>sgt:</t>
        </r>
        <r>
          <rPr>
            <sz val="8"/>
            <color indexed="81"/>
            <rFont val="Tahoma"/>
            <family val="2"/>
          </rPr>
          <t xml:space="preserve">
was 5</t>
        </r>
      </text>
    </comment>
    <comment ref="BE68" authorId="2" shapeId="0" xr:uid="{00000000-0006-0000-0000-00004C010000}">
      <text>
        <r>
          <rPr>
            <b/>
            <sz val="8"/>
            <color indexed="81"/>
            <rFont val="Tahoma"/>
            <family val="2"/>
          </rPr>
          <t>William J. Cramer:</t>
        </r>
        <r>
          <rPr>
            <sz val="8"/>
            <color indexed="81"/>
            <rFont val="Tahoma"/>
            <family val="2"/>
          </rPr>
          <t xml:space="preserve">
was 0</t>
        </r>
      </text>
    </comment>
    <comment ref="BG68" authorId="0" shapeId="0" xr:uid="{00000000-0006-0000-0000-00004D010000}">
      <text>
        <r>
          <rPr>
            <b/>
            <sz val="8"/>
            <color indexed="81"/>
            <rFont val="Tahoma"/>
            <family val="2"/>
          </rPr>
          <t>sgt:</t>
        </r>
        <r>
          <rPr>
            <sz val="8"/>
            <color indexed="81"/>
            <rFont val="Tahoma"/>
            <family val="2"/>
          </rPr>
          <t xml:space="preserve">
was 0</t>
        </r>
      </text>
    </comment>
    <comment ref="G69" authorId="0" shapeId="0" xr:uid="{00000000-0006-0000-0000-00004E010000}">
      <text>
        <r>
          <rPr>
            <b/>
            <sz val="8"/>
            <color indexed="81"/>
            <rFont val="Tahoma"/>
            <family val="2"/>
          </rPr>
          <t xml:space="preserve">sgt: </t>
        </r>
        <r>
          <rPr>
            <sz val="8"/>
            <color indexed="81"/>
            <rFont val="Tahoma"/>
            <family val="2"/>
          </rPr>
          <t>was Z0030Z</t>
        </r>
      </text>
    </comment>
    <comment ref="AD69" authorId="0" shapeId="0" xr:uid="{00000000-0006-0000-0000-00004F010000}">
      <text>
        <r>
          <rPr>
            <b/>
            <sz val="8"/>
            <color indexed="81"/>
            <rFont val="Tahoma"/>
            <family val="2"/>
          </rPr>
          <t>sgt:</t>
        </r>
        <r>
          <rPr>
            <sz val="8"/>
            <color indexed="81"/>
            <rFont val="Tahoma"/>
            <family val="2"/>
          </rPr>
          <t xml:space="preserve">
was 0</t>
        </r>
      </text>
    </comment>
    <comment ref="E70" authorId="0" shapeId="0" xr:uid="{00000000-0006-0000-0000-000050010000}">
      <text>
        <r>
          <rPr>
            <b/>
            <sz val="8"/>
            <color indexed="81"/>
            <rFont val="Tahoma"/>
            <family val="2"/>
          </rPr>
          <t>sgt:</t>
        </r>
        <r>
          <rPr>
            <sz val="8"/>
            <color indexed="81"/>
            <rFont val="Tahoma"/>
            <family val="2"/>
          </rPr>
          <t xml:space="preserve">
was 1</t>
        </r>
      </text>
    </comment>
    <comment ref="G70" authorId="0" shapeId="0" xr:uid="{00000000-0006-0000-0000-000051010000}">
      <text>
        <r>
          <rPr>
            <b/>
            <sz val="8"/>
            <color indexed="81"/>
            <rFont val="Tahoma"/>
            <family val="2"/>
          </rPr>
          <t xml:space="preserve">sgt: </t>
        </r>
        <r>
          <rPr>
            <sz val="8"/>
            <color indexed="81"/>
            <rFont val="Tahoma"/>
            <family val="2"/>
          </rPr>
          <t>was Z0030Z</t>
        </r>
      </text>
    </comment>
    <comment ref="S70" authorId="2" shapeId="0" xr:uid="{00000000-0006-0000-0000-000052010000}">
      <text>
        <r>
          <rPr>
            <b/>
            <sz val="8"/>
            <color indexed="81"/>
            <rFont val="Tahoma"/>
            <family val="2"/>
          </rPr>
          <t>William J. Cramer:</t>
        </r>
        <r>
          <rPr>
            <sz val="8"/>
            <color indexed="81"/>
            <rFont val="Tahoma"/>
            <family val="2"/>
          </rPr>
          <t xml:space="preserve">
was 1450</t>
        </r>
      </text>
    </comment>
    <comment ref="AD70" authorId="0" shapeId="0" xr:uid="{00000000-0006-0000-0000-000053010000}">
      <text>
        <r>
          <rPr>
            <b/>
            <sz val="8"/>
            <color indexed="81"/>
            <rFont val="Tahoma"/>
            <family val="2"/>
          </rPr>
          <t>sgt:</t>
        </r>
        <r>
          <rPr>
            <sz val="8"/>
            <color indexed="81"/>
            <rFont val="Tahoma"/>
            <family val="2"/>
          </rPr>
          <t xml:space="preserve">
was 0</t>
        </r>
      </text>
    </comment>
    <comment ref="G71" authorId="0" shapeId="0" xr:uid="{00000000-0006-0000-0000-000054010000}">
      <text>
        <r>
          <rPr>
            <b/>
            <sz val="8"/>
            <color indexed="81"/>
            <rFont val="Tahoma"/>
            <family val="2"/>
          </rPr>
          <t xml:space="preserve">sgt: </t>
        </r>
        <r>
          <rPr>
            <sz val="8"/>
            <color indexed="81"/>
            <rFont val="Tahoma"/>
            <family val="2"/>
          </rPr>
          <t>was Z0031Z</t>
        </r>
      </text>
    </comment>
    <comment ref="V71" authorId="2" shapeId="0" xr:uid="{00000000-0006-0000-0000-000055010000}">
      <text>
        <r>
          <rPr>
            <b/>
            <sz val="8"/>
            <color indexed="81"/>
            <rFont val="Tahoma"/>
            <family val="2"/>
          </rPr>
          <t>William J. Cramer:</t>
        </r>
        <r>
          <rPr>
            <sz val="8"/>
            <color indexed="81"/>
            <rFont val="Tahoma"/>
            <family val="2"/>
          </rPr>
          <t xml:space="preserve">
was 3 Posn Stagger  (2275 1980 2144 PW 40 20 30)</t>
        </r>
      </text>
    </comment>
    <comment ref="W71" authorId="2" shapeId="0" xr:uid="{00000000-0006-0000-0000-000056010000}">
      <text>
        <r>
          <rPr>
            <b/>
            <sz val="8"/>
            <color indexed="81"/>
            <rFont val="Tahoma"/>
            <family val="2"/>
          </rPr>
          <t>William J. Cramer:</t>
        </r>
        <r>
          <rPr>
            <sz val="8"/>
            <color indexed="81"/>
            <rFont val="Tahoma"/>
            <family val="2"/>
          </rPr>
          <t xml:space="preserve">
was 20</t>
        </r>
      </text>
    </comment>
    <comment ref="X71" authorId="2" shapeId="0" xr:uid="{00000000-0006-0000-0000-000057010000}">
      <text>
        <r>
          <rPr>
            <b/>
            <sz val="8"/>
            <color indexed="81"/>
            <rFont val="Tahoma"/>
            <family val="2"/>
          </rPr>
          <t>William J. Cramer:</t>
        </r>
        <r>
          <rPr>
            <sz val="8"/>
            <color indexed="81"/>
            <rFont val="Tahoma"/>
            <family val="2"/>
          </rPr>
          <t xml:space="preserve">
was 40</t>
        </r>
      </text>
    </comment>
    <comment ref="AD71" authorId="0" shapeId="0" xr:uid="{00000000-0006-0000-0000-000058010000}">
      <text>
        <r>
          <rPr>
            <b/>
            <sz val="8"/>
            <color indexed="81"/>
            <rFont val="Tahoma"/>
            <family val="2"/>
          </rPr>
          <t>sgt:</t>
        </r>
        <r>
          <rPr>
            <sz val="8"/>
            <color indexed="81"/>
            <rFont val="Tahoma"/>
            <family val="2"/>
          </rPr>
          <t xml:space="preserve">
was 0</t>
        </r>
      </text>
    </comment>
    <comment ref="BE71" authorId="2" shapeId="0" xr:uid="{00000000-0006-0000-0000-000059010000}">
      <text>
        <r>
          <rPr>
            <b/>
            <sz val="8"/>
            <color indexed="81"/>
            <rFont val="Tahoma"/>
            <family val="2"/>
          </rPr>
          <t>William J. Cramer:</t>
        </r>
        <r>
          <rPr>
            <sz val="8"/>
            <color indexed="81"/>
            <rFont val="Tahoma"/>
            <family val="2"/>
          </rPr>
          <t xml:space="preserve">
was 0</t>
        </r>
      </text>
    </comment>
    <comment ref="G72" authorId="0" shapeId="0" xr:uid="{00000000-0006-0000-0000-00005A010000}">
      <text>
        <r>
          <rPr>
            <b/>
            <sz val="8"/>
            <color indexed="81"/>
            <rFont val="Tahoma"/>
            <family val="2"/>
          </rPr>
          <t xml:space="preserve">sgt: </t>
        </r>
        <r>
          <rPr>
            <sz val="8"/>
            <color indexed="81"/>
            <rFont val="Tahoma"/>
            <family val="2"/>
          </rPr>
          <t>was Z0031Z</t>
        </r>
      </text>
    </comment>
    <comment ref="V72" authorId="2" shapeId="0" xr:uid="{00000000-0006-0000-0000-00005B010000}">
      <text>
        <r>
          <rPr>
            <b/>
            <sz val="8"/>
            <color indexed="81"/>
            <rFont val="Tahoma"/>
            <family val="2"/>
          </rPr>
          <t>William J. Cramer:</t>
        </r>
        <r>
          <rPr>
            <sz val="8"/>
            <color indexed="81"/>
            <rFont val="Tahoma"/>
            <family val="2"/>
          </rPr>
          <t xml:space="preserve">
was 3 Posn Stagger  (2275 1980 2144 PW 40 20 30)</t>
        </r>
      </text>
    </comment>
    <comment ref="W72" authorId="2" shapeId="0" xr:uid="{00000000-0006-0000-0000-00005C010000}">
      <text>
        <r>
          <rPr>
            <b/>
            <sz val="8"/>
            <color indexed="81"/>
            <rFont val="Tahoma"/>
            <family val="2"/>
          </rPr>
          <t>William J. Cramer:</t>
        </r>
        <r>
          <rPr>
            <sz val="8"/>
            <color indexed="81"/>
            <rFont val="Tahoma"/>
            <family val="2"/>
          </rPr>
          <t xml:space="preserve">
was 20</t>
        </r>
      </text>
    </comment>
    <comment ref="X72" authorId="2" shapeId="0" xr:uid="{00000000-0006-0000-0000-00005D010000}">
      <text>
        <r>
          <rPr>
            <b/>
            <sz val="8"/>
            <color indexed="81"/>
            <rFont val="Tahoma"/>
            <family val="2"/>
          </rPr>
          <t>William J. Cramer:</t>
        </r>
        <r>
          <rPr>
            <sz val="8"/>
            <color indexed="81"/>
            <rFont val="Tahoma"/>
            <family val="2"/>
          </rPr>
          <t xml:space="preserve">
was 40</t>
        </r>
      </text>
    </comment>
    <comment ref="AD72" authorId="0" shapeId="0" xr:uid="{00000000-0006-0000-0000-00005E010000}">
      <text>
        <r>
          <rPr>
            <b/>
            <sz val="8"/>
            <color indexed="81"/>
            <rFont val="Tahoma"/>
            <family val="2"/>
          </rPr>
          <t>sgt:</t>
        </r>
        <r>
          <rPr>
            <sz val="8"/>
            <color indexed="81"/>
            <rFont val="Tahoma"/>
            <family val="2"/>
          </rPr>
          <t xml:space="preserve">
was 0</t>
        </r>
      </text>
    </comment>
    <comment ref="BE72" authorId="2" shapeId="0" xr:uid="{00000000-0006-0000-0000-00005F010000}">
      <text>
        <r>
          <rPr>
            <b/>
            <sz val="8"/>
            <color indexed="81"/>
            <rFont val="Tahoma"/>
            <family val="2"/>
          </rPr>
          <t>William J. Cramer:</t>
        </r>
        <r>
          <rPr>
            <sz val="8"/>
            <color indexed="81"/>
            <rFont val="Tahoma"/>
            <family val="2"/>
          </rPr>
          <t xml:space="preserve">
was 0</t>
        </r>
      </text>
    </comment>
    <comment ref="Z73" authorId="2" shapeId="0" xr:uid="{00000000-0006-0000-0000-000060010000}">
      <text>
        <r>
          <rPr>
            <b/>
            <sz val="8"/>
            <color indexed="81"/>
            <rFont val="Tahoma"/>
            <family val="2"/>
          </rPr>
          <t>William J. Cramer:</t>
        </r>
        <r>
          <rPr>
            <sz val="8"/>
            <color indexed="81"/>
            <rFont val="Tahoma"/>
            <family val="2"/>
          </rPr>
          <t xml:space="preserve">
was 20</t>
        </r>
      </text>
    </comment>
    <comment ref="AA73" authorId="2" shapeId="0" xr:uid="{00000000-0006-0000-0000-000061010000}">
      <text>
        <r>
          <rPr>
            <b/>
            <sz val="8"/>
            <color indexed="81"/>
            <rFont val="Tahoma"/>
            <family val="2"/>
          </rPr>
          <t>William J. Cramer:</t>
        </r>
        <r>
          <rPr>
            <sz val="8"/>
            <color indexed="81"/>
            <rFont val="Tahoma"/>
            <family val="2"/>
          </rPr>
          <t xml:space="preserve">
was 20</t>
        </r>
      </text>
    </comment>
    <comment ref="AB73" authorId="2" shapeId="0" xr:uid="{00000000-0006-0000-0000-000062010000}">
      <text>
        <r>
          <rPr>
            <b/>
            <sz val="8"/>
            <color indexed="81"/>
            <rFont val="Tahoma"/>
            <family val="2"/>
          </rPr>
          <t>William J. Cramer:</t>
        </r>
        <r>
          <rPr>
            <sz val="8"/>
            <color indexed="81"/>
            <rFont val="Tahoma"/>
            <family val="2"/>
          </rPr>
          <t xml:space="preserve">
was MECHANICAL_ELEVATION_UNIDIRECTIONAL
(20 deg elev bars, 90bars, 0.2sec/bar)</t>
        </r>
      </text>
    </comment>
    <comment ref="AH73" authorId="0" shapeId="0" xr:uid="{00000000-0006-0000-0000-000063010000}">
      <text>
        <r>
          <rPr>
            <b/>
            <sz val="8"/>
            <color indexed="81"/>
            <rFont val="Tahoma"/>
            <family val="2"/>
          </rPr>
          <t>sgt:</t>
        </r>
        <r>
          <rPr>
            <sz val="8"/>
            <color indexed="81"/>
            <rFont val="Tahoma"/>
            <family val="2"/>
          </rPr>
          <t xml:space="preserve">
was 7</t>
        </r>
      </text>
    </comment>
    <comment ref="AS73" authorId="0" shapeId="0" xr:uid="{00000000-0006-0000-0000-000064010000}">
      <text>
        <r>
          <rPr>
            <b/>
            <sz val="8"/>
            <color indexed="81"/>
            <rFont val="Tahoma"/>
            <family val="2"/>
          </rPr>
          <t>sgt:</t>
        </r>
        <r>
          <rPr>
            <sz val="8"/>
            <color indexed="81"/>
            <rFont val="Tahoma"/>
            <family val="2"/>
          </rPr>
          <t xml:space="preserve">
was 0</t>
        </r>
      </text>
    </comment>
    <comment ref="BE73" authorId="2" shapeId="0" xr:uid="{00000000-0006-0000-0000-000065010000}">
      <text>
        <r>
          <rPr>
            <b/>
            <sz val="8"/>
            <color indexed="81"/>
            <rFont val="Tahoma"/>
            <family val="2"/>
          </rPr>
          <t>William J. Cramer:</t>
        </r>
        <r>
          <rPr>
            <sz val="8"/>
            <color indexed="81"/>
            <rFont val="Tahoma"/>
            <family val="2"/>
          </rPr>
          <t xml:space="preserve">
was 0</t>
        </r>
      </text>
    </comment>
    <comment ref="BG73" authorId="2" shapeId="0" xr:uid="{00000000-0006-0000-0000-000066010000}">
      <text>
        <r>
          <rPr>
            <b/>
            <sz val="8"/>
            <color indexed="81"/>
            <rFont val="Tahoma"/>
            <family val="2"/>
          </rPr>
          <t>William J. Cramer:</t>
        </r>
        <r>
          <rPr>
            <sz val="8"/>
            <color indexed="81"/>
            <rFont val="Tahoma"/>
            <family val="2"/>
          </rPr>
          <t xml:space="preserve">
was 0</t>
        </r>
      </text>
    </comment>
    <comment ref="R74" authorId="2" shapeId="0" xr:uid="{00000000-0006-0000-0000-000067010000}">
      <text>
        <r>
          <rPr>
            <b/>
            <sz val="8"/>
            <color indexed="81"/>
            <rFont val="Tahoma"/>
            <family val="2"/>
          </rPr>
          <t>William J. Cramer:</t>
        </r>
        <r>
          <rPr>
            <sz val="8"/>
            <color indexed="81"/>
            <rFont val="Tahoma"/>
            <family val="2"/>
          </rPr>
          <t xml:space="preserve">
was 2000</t>
        </r>
      </text>
    </comment>
    <comment ref="V74" authorId="2" shapeId="0" xr:uid="{00000000-0006-0000-0000-000068010000}">
      <text>
        <r>
          <rPr>
            <b/>
            <sz val="8"/>
            <color indexed="81"/>
            <rFont val="Tahoma"/>
            <family val="2"/>
          </rPr>
          <t>William J. Cramer:</t>
        </r>
        <r>
          <rPr>
            <sz val="8"/>
            <color indexed="81"/>
            <rFont val="Tahoma"/>
            <family val="2"/>
          </rPr>
          <t xml:space="preserve">
was 2000</t>
        </r>
      </text>
    </comment>
    <comment ref="AD74" authorId="0" shapeId="0" xr:uid="{00000000-0006-0000-0000-000069010000}">
      <text>
        <r>
          <rPr>
            <b/>
            <sz val="8"/>
            <color indexed="81"/>
            <rFont val="Tahoma"/>
            <family val="2"/>
          </rPr>
          <t>sgt:</t>
        </r>
        <r>
          <rPr>
            <sz val="8"/>
            <color indexed="81"/>
            <rFont val="Tahoma"/>
            <family val="2"/>
          </rPr>
          <t xml:space="preserve">
was 0</t>
        </r>
      </text>
    </comment>
    <comment ref="BE74" authorId="2" shapeId="0" xr:uid="{00000000-0006-0000-0000-00006A010000}">
      <text>
        <r>
          <rPr>
            <b/>
            <sz val="8"/>
            <color indexed="81"/>
            <rFont val="Tahoma"/>
            <family val="2"/>
          </rPr>
          <t>William J. Cramer:</t>
        </r>
        <r>
          <rPr>
            <sz val="8"/>
            <color indexed="81"/>
            <rFont val="Tahoma"/>
            <family val="2"/>
          </rPr>
          <t xml:space="preserve">
was 0</t>
        </r>
      </text>
    </comment>
    <comment ref="AD75" authorId="2" shapeId="0" xr:uid="{00000000-0006-0000-0000-00006B010000}">
      <text>
        <r>
          <rPr>
            <b/>
            <sz val="8"/>
            <color indexed="81"/>
            <rFont val="Tahoma"/>
            <family val="2"/>
          </rPr>
          <t>William J. Cramer:</t>
        </r>
        <r>
          <rPr>
            <sz val="8"/>
            <color indexed="81"/>
            <rFont val="Tahoma"/>
            <family val="2"/>
          </rPr>
          <t xml:space="preserve">
was 0</t>
        </r>
      </text>
    </comment>
    <comment ref="AL75" authorId="0" shapeId="0" xr:uid="{00000000-0006-0000-0000-00006C010000}">
      <text>
        <r>
          <rPr>
            <b/>
            <sz val="8"/>
            <color indexed="81"/>
            <rFont val="Tahoma"/>
            <family val="2"/>
          </rPr>
          <t>sgt:</t>
        </r>
        <r>
          <rPr>
            <sz val="8"/>
            <color indexed="81"/>
            <rFont val="Tahoma"/>
            <family val="2"/>
          </rPr>
          <t xml:space="preserve">
was 120
decreased to 100 to get comparable power for co-located emitters</t>
        </r>
      </text>
    </comment>
    <comment ref="S76" authorId="2" shapeId="0" xr:uid="{00000000-0006-0000-0000-00006D010000}">
      <text>
        <r>
          <rPr>
            <b/>
            <sz val="8"/>
            <color indexed="81"/>
            <rFont val="Tahoma"/>
            <family val="2"/>
          </rPr>
          <t>William J. Cramer:</t>
        </r>
        <r>
          <rPr>
            <sz val="8"/>
            <color indexed="81"/>
            <rFont val="Tahoma"/>
            <family val="2"/>
          </rPr>
          <t xml:space="preserve">
was 140</t>
        </r>
      </text>
    </comment>
    <comment ref="V76" authorId="2" shapeId="0" xr:uid="{00000000-0006-0000-0000-00006E010000}">
      <text>
        <r>
          <rPr>
            <b/>
            <sz val="8"/>
            <color indexed="81"/>
            <rFont val="Tahoma"/>
            <family val="2"/>
          </rPr>
          <t>William J. Cramer:</t>
        </r>
        <r>
          <rPr>
            <sz val="8"/>
            <color indexed="81"/>
            <rFont val="Tahoma"/>
            <family val="2"/>
          </rPr>
          <t xml:space="preserve">
was 140</t>
        </r>
      </text>
    </comment>
    <comment ref="AL76" authorId="0" shapeId="0" xr:uid="{00000000-0006-0000-0000-00006F010000}">
      <text>
        <r>
          <rPr>
            <b/>
            <sz val="8"/>
            <color indexed="81"/>
            <rFont val="Tahoma"/>
            <family val="2"/>
          </rPr>
          <t>sgt:</t>
        </r>
        <r>
          <rPr>
            <sz val="8"/>
            <color indexed="81"/>
            <rFont val="Tahoma"/>
            <family val="2"/>
          </rPr>
          <t xml:space="preserve">
was 110
increased to 120 to get comparable power for co-located emitters</t>
        </r>
      </text>
    </comment>
    <comment ref="L77" authorId="2" shapeId="0" xr:uid="{00000000-0006-0000-0000-000070010000}">
      <text>
        <r>
          <rPr>
            <b/>
            <sz val="8"/>
            <color indexed="81"/>
            <rFont val="Tahoma"/>
            <family val="2"/>
          </rPr>
          <t>William J. Cramer:</t>
        </r>
        <r>
          <rPr>
            <sz val="8"/>
            <color indexed="81"/>
            <rFont val="Tahoma"/>
            <family val="2"/>
          </rPr>
          <t xml:space="preserve">
was 17000</t>
        </r>
      </text>
    </comment>
    <comment ref="M77" authorId="2" shapeId="0" xr:uid="{00000000-0006-0000-0000-000071010000}">
      <text>
        <r>
          <rPr>
            <b/>
            <sz val="8"/>
            <color indexed="81"/>
            <rFont val="Tahoma"/>
            <family val="2"/>
          </rPr>
          <t>William J. Cramer:</t>
        </r>
        <r>
          <rPr>
            <sz val="8"/>
            <color indexed="81"/>
            <rFont val="Tahoma"/>
            <family val="2"/>
          </rPr>
          <t xml:space="preserve">
was 17100</t>
        </r>
      </text>
    </comment>
    <comment ref="Z77" authorId="0" shapeId="0" xr:uid="{00000000-0006-0000-0000-000072010000}">
      <text>
        <r>
          <rPr>
            <b/>
            <sz val="8"/>
            <color indexed="81"/>
            <rFont val="Tahoma"/>
            <family val="2"/>
          </rPr>
          <t>sgt:</t>
        </r>
        <r>
          <rPr>
            <sz val="8"/>
            <color indexed="81"/>
            <rFont val="Tahoma"/>
            <family val="2"/>
          </rPr>
          <t xml:space="preserve">
was 2</t>
        </r>
      </text>
    </comment>
    <comment ref="AA77" authorId="0" shapeId="0" xr:uid="{00000000-0006-0000-0000-000073010000}">
      <text>
        <r>
          <rPr>
            <b/>
            <sz val="8"/>
            <color indexed="81"/>
            <rFont val="Tahoma"/>
            <family val="2"/>
          </rPr>
          <t>sgt:</t>
        </r>
        <r>
          <rPr>
            <sz val="8"/>
            <color indexed="81"/>
            <rFont val="Tahoma"/>
            <family val="2"/>
          </rPr>
          <t xml:space="preserve">
was 2</t>
        </r>
      </text>
    </comment>
    <comment ref="AD77" authorId="2" shapeId="0" xr:uid="{00000000-0006-0000-0000-000074010000}">
      <text>
        <r>
          <rPr>
            <b/>
            <sz val="8"/>
            <color indexed="81"/>
            <rFont val="Tahoma"/>
            <family val="2"/>
          </rPr>
          <t>William J. Cramer:</t>
        </r>
        <r>
          <rPr>
            <sz val="8"/>
            <color indexed="81"/>
            <rFont val="Tahoma"/>
            <family val="2"/>
          </rPr>
          <t xml:space="preserve">
was 20</t>
        </r>
      </text>
    </comment>
    <comment ref="AF77" authorId="2" shapeId="0" xr:uid="{00000000-0006-0000-0000-000075010000}">
      <text>
        <r>
          <rPr>
            <b/>
            <sz val="8"/>
            <color indexed="81"/>
            <rFont val="Tahoma"/>
            <family val="2"/>
          </rPr>
          <t>William J. Cramer:</t>
        </r>
        <r>
          <rPr>
            <sz val="8"/>
            <color indexed="81"/>
            <rFont val="Tahoma"/>
            <family val="2"/>
          </rPr>
          <t xml:space="preserve">
was 0</t>
        </r>
      </text>
    </comment>
    <comment ref="AJ77" authorId="2" shapeId="0" xr:uid="{00000000-0006-0000-0000-000076010000}">
      <text>
        <r>
          <rPr>
            <b/>
            <sz val="8"/>
            <color indexed="81"/>
            <rFont val="Tahoma"/>
            <family val="2"/>
          </rPr>
          <t>William J. Cramer:</t>
        </r>
        <r>
          <rPr>
            <sz val="8"/>
            <color indexed="81"/>
            <rFont val="Tahoma"/>
            <family val="2"/>
          </rPr>
          <t xml:space="preserve">
was 10</t>
        </r>
      </text>
    </comment>
    <comment ref="AR77" authorId="2" shapeId="0" xr:uid="{00000000-0006-0000-0000-000077010000}">
      <text>
        <r>
          <rPr>
            <b/>
            <sz val="8"/>
            <color indexed="81"/>
            <rFont val="Tahoma"/>
            <family val="2"/>
          </rPr>
          <t>William J. Cramer:</t>
        </r>
        <r>
          <rPr>
            <sz val="8"/>
            <color indexed="81"/>
            <rFont val="Tahoma"/>
            <family val="2"/>
          </rPr>
          <t xml:space="preserve">
was 2</t>
        </r>
      </text>
    </comment>
    <comment ref="AS77" authorId="0" shapeId="0" xr:uid="{00000000-0006-0000-0000-000078010000}">
      <text>
        <r>
          <rPr>
            <b/>
            <sz val="8"/>
            <color indexed="81"/>
            <rFont val="Tahoma"/>
            <family val="2"/>
          </rPr>
          <t>sgt:</t>
        </r>
        <r>
          <rPr>
            <sz val="8"/>
            <color indexed="81"/>
            <rFont val="Tahoma"/>
            <family val="2"/>
          </rPr>
          <t xml:space="preserve">
was 6</t>
        </r>
      </text>
    </comment>
    <comment ref="AY77" authorId="2" shapeId="0" xr:uid="{00000000-0006-0000-0000-000079010000}">
      <text>
        <r>
          <rPr>
            <b/>
            <sz val="8"/>
            <color indexed="81"/>
            <rFont val="Tahoma"/>
            <family val="2"/>
          </rPr>
          <t>William J. Cramer:</t>
        </r>
        <r>
          <rPr>
            <sz val="8"/>
            <color indexed="81"/>
            <rFont val="Tahoma"/>
            <family val="2"/>
          </rPr>
          <t xml:space="preserve">
was 1</t>
        </r>
      </text>
    </comment>
    <comment ref="AD78" authorId="0" shapeId="0" xr:uid="{00000000-0006-0000-0000-00007A010000}">
      <text>
        <r>
          <rPr>
            <b/>
            <sz val="8"/>
            <color indexed="81"/>
            <rFont val="Tahoma"/>
            <family val="2"/>
          </rPr>
          <t>sgt:</t>
        </r>
        <r>
          <rPr>
            <sz val="8"/>
            <color indexed="81"/>
            <rFont val="Tahoma"/>
            <family val="2"/>
          </rPr>
          <t xml:space="preserve">
was 0</t>
        </r>
      </text>
    </comment>
    <comment ref="AD79" authorId="0" shapeId="0" xr:uid="{00000000-0006-0000-0000-00007B010000}">
      <text>
        <r>
          <rPr>
            <b/>
            <sz val="8"/>
            <color indexed="81"/>
            <rFont val="Tahoma"/>
            <family val="2"/>
          </rPr>
          <t>sgt:</t>
        </r>
        <r>
          <rPr>
            <sz val="8"/>
            <color indexed="81"/>
            <rFont val="Tahoma"/>
            <family val="2"/>
          </rPr>
          <t xml:space="preserve">
was 0</t>
        </r>
      </text>
    </comment>
    <comment ref="AD80" authorId="0" shapeId="0" xr:uid="{00000000-0006-0000-0000-00007C010000}">
      <text>
        <r>
          <rPr>
            <b/>
            <sz val="8"/>
            <color indexed="81"/>
            <rFont val="Tahoma"/>
            <family val="2"/>
          </rPr>
          <t>sgt:</t>
        </r>
        <r>
          <rPr>
            <sz val="8"/>
            <color indexed="81"/>
            <rFont val="Tahoma"/>
            <family val="2"/>
          </rPr>
          <t xml:space="preserve">
was 0</t>
        </r>
      </text>
    </comment>
    <comment ref="S81" authorId="2" shapeId="0" xr:uid="{00000000-0006-0000-0000-00007D010000}">
      <text>
        <r>
          <rPr>
            <b/>
            <sz val="8"/>
            <color indexed="81"/>
            <rFont val="Tahoma"/>
            <family val="2"/>
          </rPr>
          <t>William J. Cramer:</t>
        </r>
        <r>
          <rPr>
            <sz val="8"/>
            <color indexed="81"/>
            <rFont val="Tahoma"/>
            <family val="2"/>
          </rPr>
          <t xml:space="preserve">
was 500</t>
        </r>
      </text>
    </comment>
    <comment ref="AD81" authorId="0" shapeId="0" xr:uid="{00000000-0006-0000-0000-00007F010000}">
      <text>
        <r>
          <rPr>
            <b/>
            <sz val="8"/>
            <color indexed="81"/>
            <rFont val="Tahoma"/>
            <family val="2"/>
          </rPr>
          <t>sgt:</t>
        </r>
        <r>
          <rPr>
            <sz val="8"/>
            <color indexed="81"/>
            <rFont val="Tahoma"/>
            <family val="2"/>
          </rPr>
          <t xml:space="preserve">
was 0</t>
        </r>
      </text>
    </comment>
    <comment ref="BE81" authorId="2" shapeId="0" xr:uid="{00000000-0006-0000-0000-000080010000}">
      <text>
        <r>
          <rPr>
            <b/>
            <sz val="8"/>
            <color indexed="81"/>
            <rFont val="Tahoma"/>
            <family val="2"/>
          </rPr>
          <t>William J. Cramer:</t>
        </r>
        <r>
          <rPr>
            <sz val="8"/>
            <color indexed="81"/>
            <rFont val="Tahoma"/>
            <family val="2"/>
          </rPr>
          <t xml:space="preserve">
was 0</t>
        </r>
      </text>
    </comment>
    <comment ref="E82" authorId="0" shapeId="0" xr:uid="{00000000-0006-0000-0000-000081010000}">
      <text>
        <r>
          <rPr>
            <b/>
            <sz val="8"/>
            <color indexed="81"/>
            <rFont val="Tahoma"/>
            <family val="2"/>
          </rPr>
          <t>sgt:</t>
        </r>
        <r>
          <rPr>
            <sz val="8"/>
            <color indexed="81"/>
            <rFont val="Tahoma"/>
            <family val="2"/>
          </rPr>
          <t xml:space="preserve">
was 4</t>
        </r>
      </text>
    </comment>
    <comment ref="F82" authorId="0" shapeId="0" xr:uid="{00000000-0006-0000-0000-000082010000}">
      <text>
        <r>
          <rPr>
            <b/>
            <sz val="8"/>
            <color indexed="81"/>
            <rFont val="Tahoma"/>
            <family val="2"/>
          </rPr>
          <t>sgt:</t>
        </r>
        <r>
          <rPr>
            <sz val="8"/>
            <color indexed="81"/>
            <rFont val="Tahoma"/>
            <family val="2"/>
          </rPr>
          <t xml:space="preserve">
was NEUTRAL</t>
        </r>
      </text>
    </comment>
    <comment ref="R82" authorId="2" shapeId="0" xr:uid="{00000000-0006-0000-0000-000083010000}">
      <text>
        <r>
          <rPr>
            <b/>
            <sz val="8"/>
            <color indexed="81"/>
            <rFont val="Tahoma"/>
            <family val="2"/>
          </rPr>
          <t>William J. Cramer:</t>
        </r>
        <r>
          <rPr>
            <sz val="8"/>
            <color indexed="81"/>
            <rFont val="Tahoma"/>
            <family val="2"/>
          </rPr>
          <t xml:space="preserve">
was 800</t>
        </r>
      </text>
    </comment>
    <comment ref="Z82" authorId="2" shapeId="0" xr:uid="{00000000-0006-0000-0000-000084010000}">
      <text>
        <r>
          <rPr>
            <b/>
            <sz val="8"/>
            <color indexed="81"/>
            <rFont val="Tahoma"/>
            <family val="2"/>
          </rPr>
          <t>William J. Cramer:</t>
        </r>
        <r>
          <rPr>
            <sz val="8"/>
            <color indexed="81"/>
            <rFont val="Tahoma"/>
            <family val="2"/>
          </rPr>
          <t xml:space="preserve">
was 50</t>
        </r>
      </text>
    </comment>
    <comment ref="AA82" authorId="2" shapeId="0" xr:uid="{00000000-0006-0000-0000-000085010000}">
      <text>
        <r>
          <rPr>
            <b/>
            <sz val="8"/>
            <color indexed="81"/>
            <rFont val="Tahoma"/>
            <family val="2"/>
          </rPr>
          <t>William J. Cramer:</t>
        </r>
        <r>
          <rPr>
            <sz val="8"/>
            <color indexed="81"/>
            <rFont val="Tahoma"/>
            <family val="2"/>
          </rPr>
          <t xml:space="preserve">
was 60</t>
        </r>
      </text>
    </comment>
    <comment ref="AB82" authorId="2" shapeId="0" xr:uid="{00000000-0006-0000-0000-000086010000}">
      <text>
        <r>
          <rPr>
            <b/>
            <sz val="8"/>
            <color indexed="81"/>
            <rFont val="Tahoma"/>
            <family val="2"/>
          </rPr>
          <t>William J. Cramer:</t>
        </r>
        <r>
          <rPr>
            <sz val="8"/>
            <color indexed="81"/>
            <rFont val="Tahoma"/>
            <family val="2"/>
          </rPr>
          <t xml:space="preserve">
was ELECTRICAL_AZIMUTH_UNIDIRECTION
(electronic scanned el bar, mechanical az scan, 0.2sec/bar)
(120 el bars,  10 beams/bar, 4 staggers/beam pos)</t>
        </r>
      </text>
    </comment>
    <comment ref="AF82" authorId="2" shapeId="0" xr:uid="{00000000-0006-0000-0000-000087010000}">
      <text>
        <r>
          <rPr>
            <b/>
            <sz val="8"/>
            <color indexed="81"/>
            <rFont val="Tahoma"/>
            <family val="2"/>
          </rPr>
          <t>William J. Cramer:</t>
        </r>
        <r>
          <rPr>
            <sz val="8"/>
            <color indexed="81"/>
            <rFont val="Tahoma"/>
            <family val="2"/>
          </rPr>
          <t xml:space="preserve">
was 0</t>
        </r>
      </text>
    </comment>
    <comment ref="AH82" authorId="0" shapeId="0" xr:uid="{00000000-0006-0000-0000-000088010000}">
      <text>
        <r>
          <rPr>
            <b/>
            <sz val="8"/>
            <color indexed="81"/>
            <rFont val="Tahoma"/>
            <family val="2"/>
          </rPr>
          <t>Steven G. Todd:</t>
        </r>
        <r>
          <rPr>
            <sz val="8"/>
            <color indexed="81"/>
            <rFont val="Tahoma"/>
            <family val="2"/>
          </rPr>
          <t xml:space="preserve">
was 5</t>
        </r>
      </text>
    </comment>
    <comment ref="AJ82" authorId="2" shapeId="0" xr:uid="{00000000-0006-0000-0000-000089010000}">
      <text>
        <r>
          <rPr>
            <b/>
            <sz val="8"/>
            <color indexed="81"/>
            <rFont val="Tahoma"/>
            <family val="2"/>
          </rPr>
          <t>William J. Cramer:</t>
        </r>
        <r>
          <rPr>
            <sz val="8"/>
            <color indexed="81"/>
            <rFont val="Tahoma"/>
            <family val="2"/>
          </rPr>
          <t xml:space="preserve">
was 0</t>
        </r>
      </text>
    </comment>
    <comment ref="AR82" authorId="0" shapeId="0" xr:uid="{00000000-0006-0000-0000-00008A010000}">
      <text>
        <r>
          <rPr>
            <b/>
            <sz val="8"/>
            <color indexed="81"/>
            <rFont val="Tahoma"/>
            <family val="2"/>
          </rPr>
          <t>sgt:</t>
        </r>
        <r>
          <rPr>
            <sz val="8"/>
            <color indexed="81"/>
            <rFont val="Tahoma"/>
            <family val="2"/>
          </rPr>
          <t xml:space="preserve">
was 0</t>
        </r>
      </text>
    </comment>
    <comment ref="AS82" authorId="0" shapeId="0" xr:uid="{00000000-0006-0000-0000-00008B010000}">
      <text>
        <r>
          <rPr>
            <b/>
            <sz val="8"/>
            <color indexed="81"/>
            <rFont val="Tahoma"/>
            <family val="2"/>
          </rPr>
          <t>sgt:</t>
        </r>
        <r>
          <rPr>
            <sz val="8"/>
            <color indexed="81"/>
            <rFont val="Tahoma"/>
            <family val="2"/>
          </rPr>
          <t xml:space="preserve">
was 0</t>
        </r>
      </text>
    </comment>
    <comment ref="AY82" authorId="2" shapeId="0" xr:uid="{00000000-0006-0000-0000-00008C010000}">
      <text>
        <r>
          <rPr>
            <b/>
            <sz val="8"/>
            <color indexed="81"/>
            <rFont val="Tahoma"/>
            <family val="2"/>
          </rPr>
          <t>William J. Cramer:</t>
        </r>
        <r>
          <rPr>
            <sz val="8"/>
            <color indexed="81"/>
            <rFont val="Tahoma"/>
            <family val="2"/>
          </rPr>
          <t xml:space="preserve">
was 1</t>
        </r>
      </text>
    </comment>
    <comment ref="AZ82" authorId="0" shapeId="0" xr:uid="{00000000-0006-0000-0000-00008D010000}">
      <text>
        <r>
          <rPr>
            <b/>
            <sz val="8"/>
            <color indexed="81"/>
            <rFont val="Tahoma"/>
            <family val="2"/>
          </rPr>
          <t>sgt:</t>
        </r>
        <r>
          <rPr>
            <sz val="8"/>
            <color indexed="81"/>
            <rFont val="Tahoma"/>
            <family val="2"/>
          </rPr>
          <t xml:space="preserve">
was 0</t>
        </r>
      </text>
    </comment>
    <comment ref="BE82" authorId="2" shapeId="0" xr:uid="{00000000-0006-0000-0000-00008E010000}">
      <text>
        <r>
          <rPr>
            <b/>
            <sz val="8"/>
            <color indexed="81"/>
            <rFont val="Tahoma"/>
            <family val="2"/>
          </rPr>
          <t>William J. Cramer:</t>
        </r>
        <r>
          <rPr>
            <sz val="8"/>
            <color indexed="81"/>
            <rFont val="Tahoma"/>
            <family val="2"/>
          </rPr>
          <t xml:space="preserve">
was 0</t>
        </r>
      </text>
    </comment>
    <comment ref="AD83" authorId="0" shapeId="0" xr:uid="{00000000-0006-0000-0000-00008F010000}">
      <text>
        <r>
          <rPr>
            <b/>
            <sz val="8"/>
            <color indexed="81"/>
            <rFont val="Tahoma"/>
            <family val="2"/>
          </rPr>
          <t>sgt:</t>
        </r>
        <r>
          <rPr>
            <sz val="8"/>
            <color indexed="81"/>
            <rFont val="Tahoma"/>
            <family val="2"/>
          </rPr>
          <t xml:space="preserve">
was 0</t>
        </r>
      </text>
    </comment>
    <comment ref="AH83" authorId="0" shapeId="0" xr:uid="{00000000-0006-0000-0000-000090010000}">
      <text>
        <r>
          <rPr>
            <b/>
            <sz val="8"/>
            <color indexed="81"/>
            <rFont val="Tahoma"/>
            <family val="2"/>
          </rPr>
          <t>sgt:</t>
        </r>
        <r>
          <rPr>
            <sz val="8"/>
            <color indexed="81"/>
            <rFont val="Tahoma"/>
            <family val="2"/>
          </rPr>
          <t xml:space="preserve">
was 5</t>
        </r>
      </text>
    </comment>
    <comment ref="BE83" authorId="2" shapeId="0" xr:uid="{00000000-0006-0000-0000-000091010000}">
      <text>
        <r>
          <rPr>
            <b/>
            <sz val="8"/>
            <color indexed="81"/>
            <rFont val="Tahoma"/>
            <family val="2"/>
          </rPr>
          <t>William J. Cramer:</t>
        </r>
        <r>
          <rPr>
            <sz val="8"/>
            <color indexed="81"/>
            <rFont val="Tahoma"/>
            <family val="2"/>
          </rPr>
          <t xml:space="preserve">
was 0</t>
        </r>
      </text>
    </comment>
    <comment ref="AR84" authorId="2" shapeId="0" xr:uid="{00000000-0006-0000-0000-000092010000}">
      <text>
        <r>
          <rPr>
            <b/>
            <sz val="8"/>
            <color indexed="81"/>
            <rFont val="Tahoma"/>
            <family val="2"/>
          </rPr>
          <t>William J. Cramer:</t>
        </r>
        <r>
          <rPr>
            <sz val="8"/>
            <color indexed="81"/>
            <rFont val="Tahoma"/>
            <family val="2"/>
          </rPr>
          <t xml:space="preserve">
was blank</t>
        </r>
      </text>
    </comment>
    <comment ref="AS84" authorId="2" shapeId="0" xr:uid="{00000000-0006-0000-0000-000093010000}">
      <text>
        <r>
          <rPr>
            <b/>
            <sz val="8"/>
            <color indexed="81"/>
            <rFont val="Tahoma"/>
            <family val="2"/>
          </rPr>
          <t>William J. Cramer:</t>
        </r>
        <r>
          <rPr>
            <sz val="8"/>
            <color indexed="81"/>
            <rFont val="Tahoma"/>
            <family val="2"/>
          </rPr>
          <t xml:space="preserve">
was blank</t>
        </r>
      </text>
    </comment>
    <comment ref="AD85" authorId="0" shapeId="0" xr:uid="{00000000-0006-0000-0000-000094010000}">
      <text>
        <r>
          <rPr>
            <b/>
            <sz val="8"/>
            <color indexed="81"/>
            <rFont val="Tahoma"/>
            <family val="2"/>
          </rPr>
          <t>sgt:</t>
        </r>
        <r>
          <rPr>
            <sz val="8"/>
            <color indexed="81"/>
            <rFont val="Tahoma"/>
            <family val="2"/>
          </rPr>
          <t xml:space="preserve">
was 0</t>
        </r>
      </text>
    </comment>
    <comment ref="AH85" authorId="0" shapeId="0" xr:uid="{00000000-0006-0000-0000-000095010000}">
      <text>
        <r>
          <rPr>
            <b/>
            <sz val="8"/>
            <color indexed="81"/>
            <rFont val="Tahoma"/>
            <family val="2"/>
          </rPr>
          <t>sgt:</t>
        </r>
        <r>
          <rPr>
            <sz val="8"/>
            <color indexed="81"/>
            <rFont val="Tahoma"/>
            <family val="2"/>
          </rPr>
          <t xml:space="preserve">
was 5</t>
        </r>
      </text>
    </comment>
    <comment ref="AS85" authorId="0" shapeId="0" xr:uid="{00000000-0006-0000-0000-000096010000}">
      <text>
        <r>
          <rPr>
            <b/>
            <sz val="8"/>
            <color indexed="81"/>
            <rFont val="Tahoma"/>
            <family val="2"/>
          </rPr>
          <t>sgt:</t>
        </r>
        <r>
          <rPr>
            <sz val="8"/>
            <color indexed="81"/>
            <rFont val="Tahoma"/>
            <family val="2"/>
          </rPr>
          <t xml:space="preserve">
was 0</t>
        </r>
      </text>
    </comment>
    <comment ref="AZ85" authorId="0" shapeId="0" xr:uid="{00000000-0006-0000-0000-000097010000}">
      <text>
        <r>
          <rPr>
            <b/>
            <sz val="8"/>
            <color indexed="81"/>
            <rFont val="Tahoma"/>
            <family val="2"/>
          </rPr>
          <t>sgt:</t>
        </r>
        <r>
          <rPr>
            <sz val="8"/>
            <color indexed="81"/>
            <rFont val="Tahoma"/>
            <family val="2"/>
          </rPr>
          <t xml:space="preserve">
was 0</t>
        </r>
      </text>
    </comment>
    <comment ref="BE85" authorId="2" shapeId="0" xr:uid="{00000000-0006-0000-0000-000098010000}">
      <text>
        <r>
          <rPr>
            <b/>
            <sz val="8"/>
            <color indexed="81"/>
            <rFont val="Tahoma"/>
            <family val="2"/>
          </rPr>
          <t>William J. Cramer:</t>
        </r>
        <r>
          <rPr>
            <sz val="8"/>
            <color indexed="81"/>
            <rFont val="Tahoma"/>
            <family val="2"/>
          </rPr>
          <t xml:space="preserve">
was 0</t>
        </r>
      </text>
    </comment>
    <comment ref="AD86" authorId="0" shapeId="0" xr:uid="{00000000-0006-0000-0000-000099010000}">
      <text>
        <r>
          <rPr>
            <b/>
            <sz val="8"/>
            <color indexed="81"/>
            <rFont val="Tahoma"/>
            <family val="2"/>
          </rPr>
          <t>Steven G. Todd:</t>
        </r>
        <r>
          <rPr>
            <sz val="8"/>
            <color indexed="81"/>
            <rFont val="Tahoma"/>
            <family val="2"/>
          </rPr>
          <t xml:space="preserve">
was 0</t>
        </r>
      </text>
    </comment>
    <comment ref="AH86" authorId="0" shapeId="0" xr:uid="{00000000-0006-0000-0000-00009A010000}">
      <text>
        <r>
          <rPr>
            <b/>
            <sz val="8"/>
            <color indexed="81"/>
            <rFont val="Tahoma"/>
            <family val="2"/>
          </rPr>
          <t>sgt:</t>
        </r>
        <r>
          <rPr>
            <sz val="8"/>
            <color indexed="81"/>
            <rFont val="Tahoma"/>
            <family val="2"/>
          </rPr>
          <t xml:space="preserve">
was 5</t>
        </r>
      </text>
    </comment>
    <comment ref="AS86" authorId="0" shapeId="0" xr:uid="{00000000-0006-0000-0000-00009B010000}">
      <text>
        <r>
          <rPr>
            <b/>
            <sz val="8"/>
            <color indexed="81"/>
            <rFont val="Tahoma"/>
            <family val="2"/>
          </rPr>
          <t>sgt:</t>
        </r>
        <r>
          <rPr>
            <sz val="8"/>
            <color indexed="81"/>
            <rFont val="Tahoma"/>
            <family val="2"/>
          </rPr>
          <t xml:space="preserve">
was 0</t>
        </r>
      </text>
    </comment>
    <comment ref="AZ86" authorId="0" shapeId="0" xr:uid="{00000000-0006-0000-0000-00009C010000}">
      <text>
        <r>
          <rPr>
            <b/>
            <sz val="8"/>
            <color indexed="81"/>
            <rFont val="Tahoma"/>
            <family val="2"/>
          </rPr>
          <t>sgt:</t>
        </r>
        <r>
          <rPr>
            <sz val="8"/>
            <color indexed="81"/>
            <rFont val="Tahoma"/>
            <family val="2"/>
          </rPr>
          <t xml:space="preserve">
was 0</t>
        </r>
      </text>
    </comment>
    <comment ref="BE86" authorId="2" shapeId="0" xr:uid="{00000000-0006-0000-0000-00009D010000}">
      <text>
        <r>
          <rPr>
            <b/>
            <sz val="8"/>
            <color indexed="81"/>
            <rFont val="Tahoma"/>
            <family val="2"/>
          </rPr>
          <t>William J. Cramer:</t>
        </r>
        <r>
          <rPr>
            <sz val="8"/>
            <color indexed="81"/>
            <rFont val="Tahoma"/>
            <family val="2"/>
          </rPr>
          <t xml:space="preserve">
was 0</t>
        </r>
      </text>
    </comment>
    <comment ref="AD87" authorId="0" shapeId="0" xr:uid="{00000000-0006-0000-0000-00009E010000}">
      <text>
        <r>
          <rPr>
            <b/>
            <sz val="8"/>
            <color indexed="81"/>
            <rFont val="Tahoma"/>
            <family val="2"/>
          </rPr>
          <t>sgt:</t>
        </r>
        <r>
          <rPr>
            <sz val="8"/>
            <color indexed="81"/>
            <rFont val="Tahoma"/>
            <family val="2"/>
          </rPr>
          <t xml:space="preserve">
was 0</t>
        </r>
      </text>
    </comment>
    <comment ref="AH87" authorId="0" shapeId="0" xr:uid="{00000000-0006-0000-0000-00009F010000}">
      <text>
        <r>
          <rPr>
            <b/>
            <sz val="8"/>
            <color indexed="81"/>
            <rFont val="Tahoma"/>
            <family val="2"/>
          </rPr>
          <t>sgt:</t>
        </r>
        <r>
          <rPr>
            <sz val="8"/>
            <color indexed="81"/>
            <rFont val="Tahoma"/>
            <family val="2"/>
          </rPr>
          <t xml:space="preserve">
was 5</t>
        </r>
      </text>
    </comment>
    <comment ref="AS87" authorId="0" shapeId="0" xr:uid="{00000000-0006-0000-0000-0000A0010000}">
      <text>
        <r>
          <rPr>
            <b/>
            <sz val="8"/>
            <color indexed="81"/>
            <rFont val="Tahoma"/>
            <family val="2"/>
          </rPr>
          <t>sgt:</t>
        </r>
        <r>
          <rPr>
            <sz val="8"/>
            <color indexed="81"/>
            <rFont val="Tahoma"/>
            <family val="2"/>
          </rPr>
          <t xml:space="preserve">
was 0</t>
        </r>
      </text>
    </comment>
    <comment ref="AZ87" authorId="0" shapeId="0" xr:uid="{00000000-0006-0000-0000-0000A1010000}">
      <text>
        <r>
          <rPr>
            <b/>
            <sz val="8"/>
            <color indexed="81"/>
            <rFont val="Tahoma"/>
            <family val="2"/>
          </rPr>
          <t>sgt:</t>
        </r>
        <r>
          <rPr>
            <sz val="8"/>
            <color indexed="81"/>
            <rFont val="Tahoma"/>
            <family val="2"/>
          </rPr>
          <t xml:space="preserve">
was 0</t>
        </r>
      </text>
    </comment>
    <comment ref="BE87" authorId="2" shapeId="0" xr:uid="{00000000-0006-0000-0000-0000A2010000}">
      <text>
        <r>
          <rPr>
            <b/>
            <sz val="8"/>
            <color indexed="81"/>
            <rFont val="Tahoma"/>
            <family val="2"/>
          </rPr>
          <t>William J. Cramer:</t>
        </r>
        <r>
          <rPr>
            <sz val="8"/>
            <color indexed="81"/>
            <rFont val="Tahoma"/>
            <family val="2"/>
          </rPr>
          <t xml:space="preserve">
was 0</t>
        </r>
      </text>
    </comment>
    <comment ref="AD88" authorId="0" shapeId="0" xr:uid="{00000000-0006-0000-0000-0000A3010000}">
      <text>
        <r>
          <rPr>
            <b/>
            <sz val="8"/>
            <color indexed="81"/>
            <rFont val="Tahoma"/>
            <family val="2"/>
          </rPr>
          <t>sgt:</t>
        </r>
        <r>
          <rPr>
            <sz val="8"/>
            <color indexed="81"/>
            <rFont val="Tahoma"/>
            <family val="2"/>
          </rPr>
          <t xml:space="preserve">
was 0</t>
        </r>
      </text>
    </comment>
    <comment ref="AH88" authorId="0" shapeId="0" xr:uid="{00000000-0006-0000-0000-0000A4010000}">
      <text>
        <r>
          <rPr>
            <b/>
            <sz val="8"/>
            <color indexed="81"/>
            <rFont val="Tahoma"/>
            <family val="2"/>
          </rPr>
          <t>sgt:</t>
        </r>
        <r>
          <rPr>
            <sz val="8"/>
            <color indexed="81"/>
            <rFont val="Tahoma"/>
            <family val="2"/>
          </rPr>
          <t xml:space="preserve">
was 5</t>
        </r>
      </text>
    </comment>
    <comment ref="AS88" authorId="0" shapeId="0" xr:uid="{00000000-0006-0000-0000-0000A5010000}">
      <text>
        <r>
          <rPr>
            <b/>
            <sz val="8"/>
            <color indexed="81"/>
            <rFont val="Tahoma"/>
            <family val="2"/>
          </rPr>
          <t>sgt:</t>
        </r>
        <r>
          <rPr>
            <sz val="8"/>
            <color indexed="81"/>
            <rFont val="Tahoma"/>
            <family val="2"/>
          </rPr>
          <t xml:space="preserve">
was 0</t>
        </r>
      </text>
    </comment>
    <comment ref="AZ88" authorId="0" shapeId="0" xr:uid="{00000000-0006-0000-0000-0000A6010000}">
      <text>
        <r>
          <rPr>
            <b/>
            <sz val="8"/>
            <color indexed="81"/>
            <rFont val="Tahoma"/>
            <family val="2"/>
          </rPr>
          <t>sgt:</t>
        </r>
        <r>
          <rPr>
            <sz val="8"/>
            <color indexed="81"/>
            <rFont val="Tahoma"/>
            <family val="2"/>
          </rPr>
          <t xml:space="preserve">
was 0</t>
        </r>
      </text>
    </comment>
    <comment ref="BE88" authorId="2" shapeId="0" xr:uid="{00000000-0006-0000-0000-0000A7010000}">
      <text>
        <r>
          <rPr>
            <b/>
            <sz val="8"/>
            <color indexed="81"/>
            <rFont val="Tahoma"/>
            <family val="2"/>
          </rPr>
          <t>William J. Cramer:</t>
        </r>
        <r>
          <rPr>
            <sz val="8"/>
            <color indexed="81"/>
            <rFont val="Tahoma"/>
            <family val="2"/>
          </rPr>
          <t xml:space="preserve">
was 0</t>
        </r>
      </text>
    </comment>
    <comment ref="AD89" authorId="0" shapeId="0" xr:uid="{00000000-0006-0000-0000-0000A8010000}">
      <text>
        <r>
          <rPr>
            <b/>
            <sz val="8"/>
            <color indexed="81"/>
            <rFont val="Tahoma"/>
            <family val="2"/>
          </rPr>
          <t>sgt:</t>
        </r>
        <r>
          <rPr>
            <sz val="8"/>
            <color indexed="81"/>
            <rFont val="Tahoma"/>
            <family val="2"/>
          </rPr>
          <t xml:space="preserve">
was 0</t>
        </r>
      </text>
    </comment>
    <comment ref="AF89" authorId="2" shapeId="0" xr:uid="{00000000-0006-0000-0000-0000A9010000}">
      <text>
        <r>
          <rPr>
            <b/>
            <sz val="8"/>
            <color indexed="81"/>
            <rFont val="Tahoma"/>
            <family val="2"/>
          </rPr>
          <t>William J. Cramer:</t>
        </r>
        <r>
          <rPr>
            <sz val="8"/>
            <color indexed="81"/>
            <rFont val="Tahoma"/>
            <family val="2"/>
          </rPr>
          <t xml:space="preserve">
was blank</t>
        </r>
      </text>
    </comment>
    <comment ref="S90" authorId="2" shapeId="0" xr:uid="{00000000-0006-0000-0000-0000AA010000}">
      <text>
        <r>
          <rPr>
            <b/>
            <sz val="8"/>
            <color indexed="81"/>
            <rFont val="Tahoma"/>
            <family val="2"/>
          </rPr>
          <t>William J. Cramer:</t>
        </r>
        <r>
          <rPr>
            <sz val="8"/>
            <color indexed="81"/>
            <rFont val="Tahoma"/>
            <family val="2"/>
          </rPr>
          <t xml:space="preserve">
was 660</t>
        </r>
      </text>
    </comment>
    <comment ref="V90" authorId="0" shapeId="0" xr:uid="{00000000-0006-0000-0000-0000AB010000}">
      <text>
        <r>
          <rPr>
            <b/>
            <sz val="8"/>
            <color indexed="81"/>
            <rFont val="Tahoma"/>
            <family val="2"/>
          </rPr>
          <t>sgt:</t>
        </r>
        <r>
          <rPr>
            <sz val="8"/>
            <color indexed="81"/>
            <rFont val="Tahoma"/>
            <family val="2"/>
          </rPr>
          <t xml:space="preserve">
was 640 640,
per 5nov09 telecon</t>
        </r>
      </text>
    </comment>
    <comment ref="AD90" authorId="0" shapeId="0" xr:uid="{00000000-0006-0000-0000-0000AC010000}">
      <text>
        <r>
          <rPr>
            <b/>
            <sz val="8"/>
            <color indexed="81"/>
            <rFont val="Tahoma"/>
            <family val="2"/>
          </rPr>
          <t>sgt:</t>
        </r>
        <r>
          <rPr>
            <sz val="8"/>
            <color indexed="81"/>
            <rFont val="Tahoma"/>
            <family val="2"/>
          </rPr>
          <t xml:space="preserve">
was 0</t>
        </r>
      </text>
    </comment>
    <comment ref="AF90" authorId="2" shapeId="0" xr:uid="{00000000-0006-0000-0000-0000AD010000}">
      <text>
        <r>
          <rPr>
            <b/>
            <sz val="8"/>
            <color indexed="81"/>
            <rFont val="Tahoma"/>
            <family val="2"/>
          </rPr>
          <t>William J. Cramer:</t>
        </r>
        <r>
          <rPr>
            <sz val="8"/>
            <color indexed="81"/>
            <rFont val="Tahoma"/>
            <family val="2"/>
          </rPr>
          <t xml:space="preserve">
was blank</t>
        </r>
      </text>
    </comment>
    <comment ref="AD91" authorId="0" shapeId="0" xr:uid="{00000000-0006-0000-0000-0000AE010000}">
      <text>
        <r>
          <rPr>
            <b/>
            <sz val="8"/>
            <color indexed="81"/>
            <rFont val="Tahoma"/>
            <family val="2"/>
          </rPr>
          <t>sgt:</t>
        </r>
        <r>
          <rPr>
            <sz val="8"/>
            <color indexed="81"/>
            <rFont val="Tahoma"/>
            <family val="2"/>
          </rPr>
          <t xml:space="preserve">
was 0</t>
        </r>
      </text>
    </comment>
    <comment ref="AF91" authorId="2" shapeId="0" xr:uid="{00000000-0006-0000-0000-0000AF010000}">
      <text>
        <r>
          <rPr>
            <b/>
            <sz val="8"/>
            <color indexed="81"/>
            <rFont val="Tahoma"/>
            <family val="2"/>
          </rPr>
          <t>William J. Cramer:</t>
        </r>
        <r>
          <rPr>
            <sz val="8"/>
            <color indexed="81"/>
            <rFont val="Tahoma"/>
            <family val="2"/>
          </rPr>
          <t xml:space="preserve">
was blank</t>
        </r>
      </text>
    </comment>
    <comment ref="AD92" authorId="0" shapeId="0" xr:uid="{00000000-0006-0000-0000-0000B0010000}">
      <text>
        <r>
          <rPr>
            <b/>
            <sz val="8"/>
            <color indexed="81"/>
            <rFont val="Tahoma"/>
            <family val="2"/>
          </rPr>
          <t>sgt:</t>
        </r>
        <r>
          <rPr>
            <sz val="8"/>
            <color indexed="81"/>
            <rFont val="Tahoma"/>
            <family val="2"/>
          </rPr>
          <t xml:space="preserve">
was 0</t>
        </r>
      </text>
    </comment>
    <comment ref="AF92" authorId="2" shapeId="0" xr:uid="{00000000-0006-0000-0000-0000B1010000}">
      <text>
        <r>
          <rPr>
            <b/>
            <sz val="8"/>
            <color indexed="81"/>
            <rFont val="Tahoma"/>
            <family val="2"/>
          </rPr>
          <t>William J. Cramer:</t>
        </r>
        <r>
          <rPr>
            <sz val="8"/>
            <color indexed="81"/>
            <rFont val="Tahoma"/>
            <family val="2"/>
          </rPr>
          <t xml:space="preserve">
was blank</t>
        </r>
      </text>
    </comment>
    <comment ref="AZ93" authorId="2" shapeId="0" xr:uid="{00000000-0006-0000-0000-0000B2010000}">
      <text>
        <r>
          <rPr>
            <b/>
            <sz val="8"/>
            <color indexed="81"/>
            <rFont val="Tahoma"/>
            <family val="2"/>
          </rPr>
          <t>William J. Cramer:</t>
        </r>
        <r>
          <rPr>
            <sz val="8"/>
            <color indexed="81"/>
            <rFont val="Tahoma"/>
            <family val="2"/>
          </rPr>
          <t xml:space="preserve">
was 0</t>
        </r>
      </text>
    </comment>
    <comment ref="AD94" authorId="0" shapeId="0" xr:uid="{00000000-0006-0000-0000-0000B3010000}">
      <text>
        <r>
          <rPr>
            <b/>
            <sz val="8"/>
            <color indexed="81"/>
            <rFont val="Tahoma"/>
            <family val="2"/>
          </rPr>
          <t>sgt:</t>
        </r>
        <r>
          <rPr>
            <sz val="8"/>
            <color indexed="81"/>
            <rFont val="Tahoma"/>
            <family val="2"/>
          </rPr>
          <t xml:space="preserve">
was 0</t>
        </r>
      </text>
    </comment>
    <comment ref="AH94" authorId="0" shapeId="0" xr:uid="{00000000-0006-0000-0000-0000B4010000}">
      <text>
        <r>
          <rPr>
            <b/>
            <sz val="8"/>
            <color indexed="81"/>
            <rFont val="Tahoma"/>
            <family val="2"/>
          </rPr>
          <t>sgt:</t>
        </r>
        <r>
          <rPr>
            <sz val="8"/>
            <color indexed="81"/>
            <rFont val="Tahoma"/>
            <family val="2"/>
          </rPr>
          <t xml:space="preserve">
was 5</t>
        </r>
      </text>
    </comment>
    <comment ref="BF94" authorId="2" shapeId="0" xr:uid="{00000000-0006-0000-0000-0000B5010000}">
      <text>
        <r>
          <rPr>
            <b/>
            <sz val="8"/>
            <color indexed="81"/>
            <rFont val="Tahoma"/>
            <family val="2"/>
          </rPr>
          <t>William J. Cramer:</t>
        </r>
        <r>
          <rPr>
            <sz val="8"/>
            <color indexed="81"/>
            <rFont val="Tahoma"/>
            <family val="2"/>
          </rPr>
          <t xml:space="preserve">
was blank</t>
        </r>
      </text>
    </comment>
    <comment ref="BG94" authorId="2" shapeId="0" xr:uid="{00000000-0006-0000-0000-0000B6010000}">
      <text>
        <r>
          <rPr>
            <b/>
            <sz val="8"/>
            <color indexed="81"/>
            <rFont val="Tahoma"/>
            <family val="2"/>
          </rPr>
          <t>William J. Cramer:</t>
        </r>
        <r>
          <rPr>
            <sz val="8"/>
            <color indexed="81"/>
            <rFont val="Tahoma"/>
            <family val="2"/>
          </rPr>
          <t xml:space="preserve">
was blank</t>
        </r>
      </text>
    </comment>
    <comment ref="BH94" authorId="2" shapeId="0" xr:uid="{00000000-0006-0000-0000-0000B7010000}">
      <text>
        <r>
          <rPr>
            <b/>
            <sz val="8"/>
            <color indexed="81"/>
            <rFont val="Tahoma"/>
            <family val="2"/>
          </rPr>
          <t>William J. Cramer:</t>
        </r>
        <r>
          <rPr>
            <sz val="8"/>
            <color indexed="81"/>
            <rFont val="Tahoma"/>
            <family val="2"/>
          </rPr>
          <t xml:space="preserve">
was blank</t>
        </r>
      </text>
    </comment>
    <comment ref="Z95" authorId="0" shapeId="0" xr:uid="{00000000-0006-0000-0000-0000B8010000}">
      <text>
        <r>
          <rPr>
            <b/>
            <sz val="8"/>
            <color indexed="81"/>
            <rFont val="Tahoma"/>
            <family val="2"/>
          </rPr>
          <t>sgt:</t>
        </r>
        <r>
          <rPr>
            <sz val="8"/>
            <color indexed="81"/>
            <rFont val="Tahoma"/>
            <family val="2"/>
          </rPr>
          <t xml:space="preserve">
was 4</t>
        </r>
      </text>
    </comment>
    <comment ref="AA95" authorId="0" shapeId="0" xr:uid="{00000000-0006-0000-0000-0000B9010000}">
      <text>
        <r>
          <rPr>
            <b/>
            <sz val="8"/>
            <color indexed="81"/>
            <rFont val="Tahoma"/>
            <family val="2"/>
          </rPr>
          <t>sgt:</t>
        </r>
        <r>
          <rPr>
            <sz val="8"/>
            <color indexed="81"/>
            <rFont val="Tahoma"/>
            <family val="2"/>
          </rPr>
          <t xml:space="preserve">
was 4</t>
        </r>
      </text>
    </comment>
    <comment ref="AB95" authorId="2" shapeId="0" xr:uid="{00000000-0006-0000-0000-0000BA010000}">
      <text>
        <r>
          <rPr>
            <b/>
            <sz val="8"/>
            <color indexed="81"/>
            <rFont val="Tahoma"/>
            <family val="2"/>
          </rPr>
          <t>William J. Cramer:</t>
        </r>
        <r>
          <rPr>
            <sz val="8"/>
            <color indexed="81"/>
            <rFont val="Tahoma"/>
            <family val="2"/>
          </rPr>
          <t xml:space="preserve">
was ELECTRICAL_AZIMUTH_BIDIRECTIONAL 
(2 bar x 10 beam/bar, 16pri/beam)</t>
        </r>
      </text>
    </comment>
    <comment ref="AD95" authorId="2" shapeId="0" xr:uid="{00000000-0006-0000-0000-0000BB010000}">
      <text>
        <r>
          <rPr>
            <b/>
            <sz val="8"/>
            <color indexed="81"/>
            <rFont val="Tahoma"/>
            <family val="2"/>
          </rPr>
          <t>William J. Cramer:</t>
        </r>
        <r>
          <rPr>
            <sz val="8"/>
            <color indexed="81"/>
            <rFont val="Tahoma"/>
            <family val="2"/>
          </rPr>
          <t xml:space="preserve">
was 20</t>
        </r>
      </text>
    </comment>
    <comment ref="AF95" authorId="0" shapeId="0" xr:uid="{00000000-0006-0000-0000-0000BC010000}">
      <text>
        <r>
          <rPr>
            <b/>
            <sz val="8"/>
            <color indexed="81"/>
            <rFont val="Tahoma"/>
            <family val="2"/>
          </rPr>
          <t>sgt:</t>
        </r>
        <r>
          <rPr>
            <sz val="8"/>
            <color indexed="81"/>
            <rFont val="Tahoma"/>
            <family val="2"/>
          </rPr>
          <t xml:space="preserve">
was 20</t>
        </r>
      </text>
    </comment>
    <comment ref="AH95" authorId="0" shapeId="0" xr:uid="{00000000-0006-0000-0000-0000BD010000}">
      <text>
        <r>
          <rPr>
            <b/>
            <sz val="8"/>
            <color indexed="81"/>
            <rFont val="Tahoma"/>
            <family val="2"/>
          </rPr>
          <t>sgt:</t>
        </r>
        <r>
          <rPr>
            <sz val="8"/>
            <color indexed="81"/>
            <rFont val="Tahoma"/>
            <family val="2"/>
          </rPr>
          <t xml:space="preserve">
was 5</t>
        </r>
      </text>
    </comment>
    <comment ref="AI95" authorId="2" shapeId="0" xr:uid="{00000000-0006-0000-0000-0000BE010000}">
      <text>
        <r>
          <rPr>
            <b/>
            <sz val="8"/>
            <color indexed="81"/>
            <rFont val="Tahoma"/>
            <family val="2"/>
          </rPr>
          <t>William J. Cramer:</t>
        </r>
        <r>
          <rPr>
            <sz val="8"/>
            <color indexed="81"/>
            <rFont val="Tahoma"/>
            <family val="2"/>
          </rPr>
          <t xml:space="preserve">
was 2</t>
        </r>
      </text>
    </comment>
    <comment ref="AJ95" authorId="2" shapeId="0" xr:uid="{00000000-0006-0000-0000-0000BF010000}">
      <text>
        <r>
          <rPr>
            <b/>
            <sz val="8"/>
            <color indexed="81"/>
            <rFont val="Tahoma"/>
            <family val="2"/>
          </rPr>
          <t>William J. Cramer:</t>
        </r>
        <r>
          <rPr>
            <sz val="8"/>
            <color indexed="81"/>
            <rFont val="Tahoma"/>
            <family val="2"/>
          </rPr>
          <t xml:space="preserve">
was 10</t>
        </r>
      </text>
    </comment>
    <comment ref="AR95" authorId="2" shapeId="0" xr:uid="{00000000-0006-0000-0000-0000C0010000}">
      <text>
        <r>
          <rPr>
            <b/>
            <sz val="8"/>
            <color indexed="81"/>
            <rFont val="Tahoma"/>
            <family val="2"/>
          </rPr>
          <t>William J. Cramer:</t>
        </r>
        <r>
          <rPr>
            <sz val="8"/>
            <color indexed="81"/>
            <rFont val="Tahoma"/>
            <family val="2"/>
          </rPr>
          <t xml:space="preserve">
was 2</t>
        </r>
      </text>
    </comment>
    <comment ref="AS95" authorId="0" shapeId="0" xr:uid="{00000000-0006-0000-0000-0000C1010000}">
      <text>
        <r>
          <rPr>
            <b/>
            <sz val="8"/>
            <color indexed="81"/>
            <rFont val="Tahoma"/>
            <family val="2"/>
          </rPr>
          <t>sgt:</t>
        </r>
        <r>
          <rPr>
            <sz val="8"/>
            <color indexed="81"/>
            <rFont val="Tahoma"/>
            <family val="2"/>
          </rPr>
          <t xml:space="preserve">
was 5</t>
        </r>
      </text>
    </comment>
    <comment ref="AY95" authorId="2" shapeId="0" xr:uid="{00000000-0006-0000-0000-0000C2010000}">
      <text>
        <r>
          <rPr>
            <b/>
            <sz val="8"/>
            <color indexed="81"/>
            <rFont val="Tahoma"/>
            <family val="2"/>
          </rPr>
          <t>William J. Cramer:</t>
        </r>
        <r>
          <rPr>
            <sz val="8"/>
            <color indexed="81"/>
            <rFont val="Tahoma"/>
            <family val="2"/>
          </rPr>
          <t xml:space="preserve">
was 1</t>
        </r>
      </text>
    </comment>
    <comment ref="AZ95" authorId="0" shapeId="0" xr:uid="{00000000-0006-0000-0000-0000C3010000}">
      <text>
        <r>
          <rPr>
            <b/>
            <sz val="8"/>
            <color indexed="81"/>
            <rFont val="Tahoma"/>
            <family val="2"/>
          </rPr>
          <t>sgt:</t>
        </r>
        <r>
          <rPr>
            <sz val="8"/>
            <color indexed="81"/>
            <rFont val="Tahoma"/>
            <family val="2"/>
          </rPr>
          <t xml:space="preserve">
was 0</t>
        </r>
      </text>
    </comment>
    <comment ref="BF95" authorId="2" shapeId="0" xr:uid="{00000000-0006-0000-0000-0000C4010000}">
      <text>
        <r>
          <rPr>
            <b/>
            <sz val="8"/>
            <color indexed="81"/>
            <rFont val="Tahoma"/>
            <family val="2"/>
          </rPr>
          <t>William J. Cramer:</t>
        </r>
        <r>
          <rPr>
            <sz val="8"/>
            <color indexed="81"/>
            <rFont val="Tahoma"/>
            <family val="2"/>
          </rPr>
          <t xml:space="preserve">
was 1</t>
        </r>
      </text>
    </comment>
    <comment ref="BG95" authorId="2" shapeId="0" xr:uid="{00000000-0006-0000-0000-0000C5010000}">
      <text>
        <r>
          <rPr>
            <b/>
            <sz val="8"/>
            <color indexed="81"/>
            <rFont val="Tahoma"/>
            <family val="2"/>
          </rPr>
          <t>William J. Cramer:</t>
        </r>
        <r>
          <rPr>
            <sz val="8"/>
            <color indexed="81"/>
            <rFont val="Tahoma"/>
            <family val="2"/>
          </rPr>
          <t xml:space="preserve">
was 0</t>
        </r>
      </text>
    </comment>
    <comment ref="V96" authorId="2" shapeId="0" xr:uid="{00000000-0006-0000-0000-0000C6010000}">
      <text>
        <r>
          <rPr>
            <b/>
            <sz val="8"/>
            <color indexed="81"/>
            <rFont val="Tahoma"/>
            <family val="2"/>
          </rPr>
          <t>William J. Cramer:</t>
        </r>
        <r>
          <rPr>
            <sz val="8"/>
            <color indexed="81"/>
            <rFont val="Tahoma"/>
            <family val="2"/>
          </rPr>
          <t xml:space="preserve">
will be modeled as random pulse to pulse</t>
        </r>
      </text>
    </comment>
    <comment ref="AC96" authorId="2" shapeId="0" xr:uid="{00000000-0006-0000-0000-0000C7010000}">
      <text>
        <r>
          <rPr>
            <b/>
            <sz val="8"/>
            <color indexed="81"/>
            <rFont val="Tahoma"/>
            <family val="2"/>
          </rPr>
          <t>William J. Cramer:</t>
        </r>
        <r>
          <rPr>
            <sz val="8"/>
            <color indexed="81"/>
            <rFont val="Tahoma"/>
            <family val="2"/>
          </rPr>
          <t xml:space="preserve">
was blank</t>
        </r>
      </text>
    </comment>
    <comment ref="AD96" authorId="2" shapeId="0" xr:uid="{00000000-0006-0000-0000-0000C8010000}">
      <text>
        <r>
          <rPr>
            <b/>
            <sz val="8"/>
            <color indexed="81"/>
            <rFont val="Tahoma"/>
            <family val="2"/>
          </rPr>
          <t>William J. Cramer:</t>
        </r>
        <r>
          <rPr>
            <sz val="8"/>
            <color indexed="81"/>
            <rFont val="Tahoma"/>
            <family val="2"/>
          </rPr>
          <t xml:space="preserve">
was blank</t>
        </r>
      </text>
    </comment>
    <comment ref="AH96" authorId="0" shapeId="0" xr:uid="{00000000-0006-0000-0000-0000C9010000}">
      <text>
        <r>
          <rPr>
            <b/>
            <sz val="8"/>
            <color indexed="81"/>
            <rFont val="Tahoma"/>
            <family val="2"/>
          </rPr>
          <t>sgt:</t>
        </r>
        <r>
          <rPr>
            <sz val="8"/>
            <color indexed="81"/>
            <rFont val="Tahoma"/>
            <family val="2"/>
          </rPr>
          <t xml:space="preserve">
was 5</t>
        </r>
      </text>
    </comment>
    <comment ref="AI96" authorId="2" shapeId="0" xr:uid="{00000000-0006-0000-0000-0000CA010000}">
      <text>
        <r>
          <rPr>
            <b/>
            <sz val="8"/>
            <color indexed="81"/>
            <rFont val="Tahoma"/>
            <family val="2"/>
          </rPr>
          <t>William J. Cramer:</t>
        </r>
        <r>
          <rPr>
            <sz val="8"/>
            <color indexed="81"/>
            <rFont val="Tahoma"/>
            <family val="2"/>
          </rPr>
          <t xml:space="preserve">
was blank</t>
        </r>
      </text>
    </comment>
    <comment ref="AJ96" authorId="2" shapeId="0" xr:uid="{00000000-0006-0000-0000-0000CB010000}">
      <text>
        <r>
          <rPr>
            <b/>
            <sz val="8"/>
            <color indexed="81"/>
            <rFont val="Tahoma"/>
            <family val="2"/>
          </rPr>
          <t>William J. Cramer:</t>
        </r>
        <r>
          <rPr>
            <sz val="8"/>
            <color indexed="81"/>
            <rFont val="Tahoma"/>
            <family val="2"/>
          </rPr>
          <t xml:space="preserve">
was blank</t>
        </r>
      </text>
    </comment>
    <comment ref="AZ96" authorId="0" shapeId="0" xr:uid="{00000000-0006-0000-0000-0000CC010000}">
      <text>
        <r>
          <rPr>
            <b/>
            <sz val="8"/>
            <color indexed="81"/>
            <rFont val="Tahoma"/>
            <family val="2"/>
          </rPr>
          <t>sgt:</t>
        </r>
        <r>
          <rPr>
            <sz val="8"/>
            <color indexed="81"/>
            <rFont val="Tahoma"/>
            <family val="2"/>
          </rPr>
          <t xml:space="preserve">
was 0</t>
        </r>
      </text>
    </comment>
    <comment ref="E97" authorId="0" shapeId="0" xr:uid="{00000000-0006-0000-0000-0000CD010000}">
      <text>
        <r>
          <rPr>
            <b/>
            <sz val="8"/>
            <color indexed="81"/>
            <rFont val="Tahoma"/>
            <family val="2"/>
          </rPr>
          <t>sgt:</t>
        </r>
        <r>
          <rPr>
            <sz val="8"/>
            <color indexed="81"/>
            <rFont val="Tahoma"/>
            <family val="2"/>
          </rPr>
          <t xml:space="preserve">
was 2</t>
        </r>
      </text>
    </comment>
    <comment ref="E98" authorId="0" shapeId="0" xr:uid="{00000000-0006-0000-0000-0000CE010000}">
      <text>
        <r>
          <rPr>
            <b/>
            <sz val="8"/>
            <color indexed="81"/>
            <rFont val="Tahoma"/>
            <family val="2"/>
          </rPr>
          <t>sgt:</t>
        </r>
        <r>
          <rPr>
            <sz val="8"/>
            <color indexed="81"/>
            <rFont val="Tahoma"/>
            <family val="2"/>
          </rPr>
          <t xml:space="preserve">
was 2</t>
        </r>
      </text>
    </comment>
    <comment ref="Z99" authorId="2" shapeId="0" xr:uid="{00000000-0006-0000-0000-0000CF010000}">
      <text>
        <r>
          <rPr>
            <b/>
            <sz val="8"/>
            <color indexed="81"/>
            <rFont val="Tahoma"/>
            <family val="2"/>
          </rPr>
          <t>William J. Cramer:</t>
        </r>
        <r>
          <rPr>
            <sz val="8"/>
            <color indexed="81"/>
            <rFont val="Tahoma"/>
            <family val="2"/>
          </rPr>
          <t xml:space="preserve">
was 2</t>
        </r>
      </text>
    </comment>
    <comment ref="AA99" authorId="2" shapeId="0" xr:uid="{00000000-0006-0000-0000-0000D0010000}">
      <text>
        <r>
          <rPr>
            <b/>
            <sz val="8"/>
            <color indexed="81"/>
            <rFont val="Tahoma"/>
            <family val="2"/>
          </rPr>
          <t>William J. Cramer:</t>
        </r>
        <r>
          <rPr>
            <sz val="8"/>
            <color indexed="81"/>
            <rFont val="Tahoma"/>
            <family val="2"/>
          </rPr>
          <t xml:space="preserve">
was 2</t>
        </r>
      </text>
    </comment>
    <comment ref="AB99" authorId="2" shapeId="0" xr:uid="{00000000-0006-0000-0000-0000D1010000}">
      <text>
        <r>
          <rPr>
            <b/>
            <sz val="8"/>
            <color indexed="81"/>
            <rFont val="Tahoma"/>
            <family val="2"/>
          </rPr>
          <t>William J. Cramer:</t>
        </r>
        <r>
          <rPr>
            <sz val="8"/>
            <color indexed="81"/>
            <rFont val="Tahoma"/>
            <family val="2"/>
          </rPr>
          <t xml:space="preserve">
was ELECTRICAL_BIDIRECTIONAL</t>
        </r>
      </text>
    </comment>
    <comment ref="AD99" authorId="0" shapeId="0" xr:uid="{00000000-0006-0000-0000-0000D2010000}">
      <text>
        <r>
          <rPr>
            <b/>
            <sz val="8"/>
            <color indexed="81"/>
            <rFont val="Tahoma"/>
            <family val="2"/>
          </rPr>
          <t>sgt:</t>
        </r>
        <r>
          <rPr>
            <sz val="8"/>
            <color indexed="81"/>
            <rFont val="Tahoma"/>
            <family val="2"/>
          </rPr>
          <t xml:space="preserve">
was 10</t>
        </r>
      </text>
    </comment>
    <comment ref="AF99" authorId="2" shapeId="0" xr:uid="{00000000-0006-0000-0000-0000D3010000}">
      <text>
        <r>
          <rPr>
            <b/>
            <sz val="8"/>
            <color indexed="81"/>
            <rFont val="Tahoma"/>
            <family val="2"/>
          </rPr>
          <t>William J. Cramer:</t>
        </r>
        <r>
          <rPr>
            <sz val="8"/>
            <color indexed="81"/>
            <rFont val="Tahoma"/>
            <family val="2"/>
          </rPr>
          <t xml:space="preserve">
was 0</t>
        </r>
      </text>
    </comment>
    <comment ref="AS99" authorId="0" shapeId="0" xr:uid="{00000000-0006-0000-0000-0000D4010000}">
      <text>
        <r>
          <rPr>
            <b/>
            <sz val="8"/>
            <color indexed="81"/>
            <rFont val="Tahoma"/>
            <family val="2"/>
          </rPr>
          <t>sgt:</t>
        </r>
        <r>
          <rPr>
            <sz val="8"/>
            <color indexed="81"/>
            <rFont val="Tahoma"/>
            <family val="2"/>
          </rPr>
          <t xml:space="preserve">
was 5</t>
        </r>
      </text>
    </comment>
    <comment ref="BF99" authorId="2" shapeId="0" xr:uid="{00000000-0006-0000-0000-0000D5010000}">
      <text>
        <r>
          <rPr>
            <b/>
            <sz val="8"/>
            <color indexed="81"/>
            <rFont val="Tahoma"/>
            <family val="2"/>
          </rPr>
          <t>William J. Cramer:</t>
        </r>
        <r>
          <rPr>
            <sz val="8"/>
            <color indexed="81"/>
            <rFont val="Tahoma"/>
            <family val="2"/>
          </rPr>
          <t xml:space="preserve">
was 1</t>
        </r>
      </text>
    </comment>
    <comment ref="BG99" authorId="2" shapeId="0" xr:uid="{00000000-0006-0000-0000-0000D6010000}">
      <text>
        <r>
          <rPr>
            <b/>
            <sz val="8"/>
            <color indexed="81"/>
            <rFont val="Tahoma"/>
            <family val="2"/>
          </rPr>
          <t>William J. Cramer:</t>
        </r>
        <r>
          <rPr>
            <sz val="8"/>
            <color indexed="81"/>
            <rFont val="Tahoma"/>
            <family val="2"/>
          </rPr>
          <t xml:space="preserve">
was 0</t>
        </r>
      </text>
    </comment>
    <comment ref="E100" authorId="0" shapeId="0" xr:uid="{00000000-0006-0000-0000-0000D7010000}">
      <text>
        <r>
          <rPr>
            <b/>
            <sz val="8"/>
            <color indexed="81"/>
            <rFont val="Tahoma"/>
            <family val="2"/>
          </rPr>
          <t>sgt:</t>
        </r>
        <r>
          <rPr>
            <sz val="8"/>
            <color indexed="81"/>
            <rFont val="Tahoma"/>
            <family val="2"/>
          </rPr>
          <t xml:space="preserve">
was 1</t>
        </r>
      </text>
    </comment>
    <comment ref="Z100" authorId="2" shapeId="0" xr:uid="{00000000-0006-0000-0000-0000D8010000}">
      <text>
        <r>
          <rPr>
            <b/>
            <sz val="8"/>
            <color indexed="81"/>
            <rFont val="Tahoma"/>
            <family val="2"/>
          </rPr>
          <t>William J. Cramer:</t>
        </r>
        <r>
          <rPr>
            <sz val="8"/>
            <color indexed="81"/>
            <rFont val="Tahoma"/>
            <family val="2"/>
          </rPr>
          <t xml:space="preserve">
was 0.1</t>
        </r>
      </text>
    </comment>
    <comment ref="AA100" authorId="2" shapeId="0" xr:uid="{00000000-0006-0000-0000-0000D9010000}">
      <text>
        <r>
          <rPr>
            <b/>
            <sz val="8"/>
            <color indexed="81"/>
            <rFont val="Tahoma"/>
            <family val="2"/>
          </rPr>
          <t>William J. Cramer:</t>
        </r>
        <r>
          <rPr>
            <sz val="8"/>
            <color indexed="81"/>
            <rFont val="Tahoma"/>
            <family val="2"/>
          </rPr>
          <t xml:space="preserve">
was 0.1</t>
        </r>
      </text>
    </comment>
    <comment ref="AZ100" authorId="0" shapeId="0" xr:uid="{00000000-0006-0000-0000-0000DA010000}">
      <text>
        <r>
          <rPr>
            <b/>
            <sz val="8"/>
            <color indexed="81"/>
            <rFont val="Tahoma"/>
            <family val="2"/>
          </rPr>
          <t>sgt:</t>
        </r>
        <r>
          <rPr>
            <sz val="8"/>
            <color indexed="81"/>
            <rFont val="Tahoma"/>
            <family val="2"/>
          </rPr>
          <t xml:space="preserve">
was ?</t>
        </r>
      </text>
    </comment>
    <comment ref="Z101" authorId="0" shapeId="0" xr:uid="{00000000-0006-0000-0000-0000DB010000}">
      <text>
        <r>
          <rPr>
            <b/>
            <sz val="8"/>
            <color indexed="81"/>
            <rFont val="Tahoma"/>
            <family val="2"/>
          </rPr>
          <t>sgt:</t>
        </r>
        <r>
          <rPr>
            <sz val="8"/>
            <color indexed="81"/>
            <rFont val="Tahoma"/>
            <family val="2"/>
          </rPr>
          <t xml:space="preserve">
was 0.4</t>
        </r>
      </text>
    </comment>
    <comment ref="AA101" authorId="0" shapeId="0" xr:uid="{00000000-0006-0000-0000-0000DC010000}">
      <text>
        <r>
          <rPr>
            <b/>
            <sz val="8"/>
            <color indexed="81"/>
            <rFont val="Tahoma"/>
            <family val="2"/>
          </rPr>
          <t>sgt:</t>
        </r>
        <r>
          <rPr>
            <sz val="8"/>
            <color indexed="81"/>
            <rFont val="Tahoma"/>
            <family val="2"/>
          </rPr>
          <t xml:space="preserve">
was 0.4</t>
        </r>
      </text>
    </comment>
    <comment ref="AB101" authorId="2" shapeId="0" xr:uid="{00000000-0006-0000-0000-0000DD010000}">
      <text>
        <r>
          <rPr>
            <b/>
            <sz val="8"/>
            <color indexed="81"/>
            <rFont val="Tahoma"/>
            <family val="2"/>
          </rPr>
          <t>William J. Cramer:</t>
        </r>
        <r>
          <rPr>
            <sz val="8"/>
            <color indexed="81"/>
            <rFont val="Tahoma"/>
            <family val="2"/>
          </rPr>
          <t xml:space="preserve">
was 5 pri dwell seq/beam and ELECTRICAL_AZIMUTH_BIDIRECTIONAL</t>
        </r>
      </text>
    </comment>
    <comment ref="AF101" authorId="0" shapeId="0" xr:uid="{00000000-0006-0000-0000-0000DE010000}">
      <text>
        <r>
          <rPr>
            <b/>
            <sz val="8"/>
            <color indexed="81"/>
            <rFont val="Tahoma"/>
            <family val="2"/>
          </rPr>
          <t>sgt:</t>
        </r>
        <r>
          <rPr>
            <sz val="8"/>
            <color indexed="81"/>
            <rFont val="Tahoma"/>
            <family val="2"/>
          </rPr>
          <t xml:space="preserve">
was 0</t>
        </r>
      </text>
    </comment>
    <comment ref="AL101" authorId="0" shapeId="0" xr:uid="{00000000-0006-0000-0000-0000DF010000}">
      <text>
        <r>
          <rPr>
            <b/>
            <sz val="8"/>
            <color indexed="81"/>
            <rFont val="Tahoma"/>
            <family val="2"/>
          </rPr>
          <t>sgt:</t>
        </r>
        <r>
          <rPr>
            <sz val="8"/>
            <color indexed="81"/>
            <rFont val="Tahoma"/>
            <family val="2"/>
          </rPr>
          <t xml:space="preserve">
was 90
increased to 100 to get reasonable power at expected look angles and ranges</t>
        </r>
      </text>
    </comment>
    <comment ref="AS101" authorId="0" shapeId="0" xr:uid="{00000000-0006-0000-0000-0000E0010000}">
      <text>
        <r>
          <rPr>
            <b/>
            <sz val="8"/>
            <color indexed="81"/>
            <rFont val="Tahoma"/>
            <family val="2"/>
          </rPr>
          <t>sgt:</t>
        </r>
        <r>
          <rPr>
            <sz val="8"/>
            <color indexed="81"/>
            <rFont val="Tahoma"/>
            <family val="2"/>
          </rPr>
          <t xml:space="preserve">
was 4</t>
        </r>
      </text>
    </comment>
    <comment ref="BF101" authorId="0" shapeId="0" xr:uid="{00000000-0006-0000-0000-0000E1010000}">
      <text>
        <r>
          <rPr>
            <b/>
            <sz val="8"/>
            <color indexed="81"/>
            <rFont val="Tahoma"/>
            <family val="2"/>
          </rPr>
          <t>sgt:</t>
        </r>
        <r>
          <rPr>
            <sz val="8"/>
            <color indexed="81"/>
            <rFont val="Tahoma"/>
            <family val="2"/>
          </rPr>
          <t xml:space="preserve">
was 0</t>
        </r>
      </text>
    </comment>
    <comment ref="Q102" authorId="0" shapeId="0" xr:uid="{00000000-0006-0000-0000-0000E2010000}">
      <text>
        <r>
          <rPr>
            <b/>
            <sz val="8"/>
            <color indexed="81"/>
            <rFont val="Tahoma"/>
            <family val="2"/>
          </rPr>
          <t>sgt:</t>
        </r>
        <r>
          <rPr>
            <sz val="8"/>
            <color indexed="81"/>
            <rFont val="Tahoma"/>
            <family val="2"/>
          </rPr>
          <t xml:space="preserve">
was 10Mhz, 900msec
per 5nov09 telecon</t>
        </r>
      </text>
    </comment>
    <comment ref="AL102" authorId="0" shapeId="0" xr:uid="{00000000-0006-0000-0000-0000E3010000}">
      <text>
        <r>
          <rPr>
            <b/>
            <sz val="8"/>
            <color indexed="81"/>
            <rFont val="Tahoma"/>
            <family val="2"/>
          </rPr>
          <t>sgt:</t>
        </r>
        <r>
          <rPr>
            <sz val="8"/>
            <color indexed="81"/>
            <rFont val="Tahoma"/>
            <family val="2"/>
          </rPr>
          <t xml:space="preserve">
was 90
increased to 100 to get reasonable power at expected look angles and ranges</t>
        </r>
      </text>
    </comment>
    <comment ref="L103" authorId="2" shapeId="0" xr:uid="{00000000-0006-0000-0000-0000E4010000}">
      <text>
        <r>
          <rPr>
            <b/>
            <sz val="8"/>
            <color indexed="81"/>
            <rFont val="Tahoma"/>
            <family val="2"/>
          </rPr>
          <t>William J. Cramer:</t>
        </r>
        <r>
          <rPr>
            <sz val="8"/>
            <color indexed="81"/>
            <rFont val="Tahoma"/>
            <family val="2"/>
          </rPr>
          <t xml:space="preserve">
was 2100</t>
        </r>
      </text>
    </comment>
    <comment ref="M103" authorId="2" shapeId="0" xr:uid="{00000000-0006-0000-0000-0000E5010000}">
      <text>
        <r>
          <rPr>
            <b/>
            <sz val="8"/>
            <color indexed="81"/>
            <rFont val="Tahoma"/>
            <family val="2"/>
          </rPr>
          <t>William J. Cramer:</t>
        </r>
        <r>
          <rPr>
            <sz val="8"/>
            <color indexed="81"/>
            <rFont val="Tahoma"/>
            <family val="2"/>
          </rPr>
          <t xml:space="preserve">
was 2300</t>
        </r>
      </text>
    </comment>
    <comment ref="AD103" authorId="0" shapeId="0" xr:uid="{00000000-0006-0000-0000-0000E6010000}">
      <text>
        <r>
          <rPr>
            <b/>
            <sz val="8"/>
            <color indexed="81"/>
            <rFont val="Tahoma"/>
            <family val="2"/>
          </rPr>
          <t>sgt:</t>
        </r>
        <r>
          <rPr>
            <sz val="8"/>
            <color indexed="81"/>
            <rFont val="Tahoma"/>
            <family val="2"/>
          </rPr>
          <t xml:space="preserve">
was 0</t>
        </r>
      </text>
    </comment>
    <comment ref="L104" authorId="2" shapeId="0" xr:uid="{00000000-0006-0000-0000-0000E7010000}">
      <text>
        <r>
          <rPr>
            <b/>
            <sz val="8"/>
            <color indexed="81"/>
            <rFont val="Tahoma"/>
            <family val="2"/>
          </rPr>
          <t>William J. Cramer:</t>
        </r>
        <r>
          <rPr>
            <sz val="8"/>
            <color indexed="81"/>
            <rFont val="Tahoma"/>
            <family val="2"/>
          </rPr>
          <t xml:space="preserve">
was 2100</t>
        </r>
      </text>
    </comment>
    <comment ref="M104" authorId="2" shapeId="0" xr:uid="{00000000-0006-0000-0000-0000E8010000}">
      <text>
        <r>
          <rPr>
            <b/>
            <sz val="8"/>
            <color indexed="81"/>
            <rFont val="Tahoma"/>
            <family val="2"/>
          </rPr>
          <t>William J. Cramer:</t>
        </r>
        <r>
          <rPr>
            <sz val="8"/>
            <color indexed="81"/>
            <rFont val="Tahoma"/>
            <family val="2"/>
          </rPr>
          <t xml:space="preserve">
was 2300</t>
        </r>
      </text>
    </comment>
    <comment ref="R104" authorId="0" shapeId="0" xr:uid="{00000000-0006-0000-0000-0000E9010000}">
      <text>
        <r>
          <rPr>
            <b/>
            <sz val="8"/>
            <color indexed="81"/>
            <rFont val="Tahoma"/>
            <family val="2"/>
          </rPr>
          <t>sgt:</t>
        </r>
        <r>
          <rPr>
            <sz val="8"/>
            <color indexed="81"/>
            <rFont val="Tahoma"/>
            <family val="2"/>
          </rPr>
          <t xml:space="preserve">
was 2000,
per 5nov09 telecon</t>
        </r>
      </text>
    </comment>
    <comment ref="S104" authorId="0" shapeId="0" xr:uid="{00000000-0006-0000-0000-0000EA010000}">
      <text>
        <r>
          <rPr>
            <b/>
            <sz val="8"/>
            <color indexed="81"/>
            <rFont val="Tahoma"/>
            <family val="2"/>
          </rPr>
          <t>sgt:</t>
        </r>
        <r>
          <rPr>
            <sz val="8"/>
            <color indexed="81"/>
            <rFont val="Tahoma"/>
            <family val="2"/>
          </rPr>
          <t xml:space="preserve">
was 3000,
per 5nov09 telecon</t>
        </r>
      </text>
    </comment>
    <comment ref="T104" authorId="0" shapeId="0" xr:uid="{00000000-0006-0000-0000-0000EB010000}">
      <text>
        <r>
          <rPr>
            <b/>
            <sz val="8"/>
            <color indexed="81"/>
            <rFont val="Tahoma"/>
            <family val="2"/>
          </rPr>
          <t>Steven G. Todd:</t>
        </r>
        <r>
          <rPr>
            <sz val="8"/>
            <color indexed="81"/>
            <rFont val="Tahoma"/>
            <family val="2"/>
          </rPr>
          <t xml:space="preserve">
was 1000,
per 5nov09 telecon</t>
        </r>
      </text>
    </comment>
    <comment ref="V104" authorId="0" shapeId="0" xr:uid="{00000000-0006-0000-0000-0000EC010000}">
      <text>
        <r>
          <rPr>
            <b/>
            <sz val="8"/>
            <color indexed="81"/>
            <rFont val="Tahoma"/>
            <family val="2"/>
          </rPr>
          <t>sgt:</t>
        </r>
        <r>
          <rPr>
            <sz val="8"/>
            <color indexed="81"/>
            <rFont val="Tahoma"/>
            <family val="2"/>
          </rPr>
          <t xml:space="preserve">
was 500 usec,
per 5nov09 telecon</t>
        </r>
      </text>
    </comment>
    <comment ref="AD104" authorId="0" shapeId="0" xr:uid="{00000000-0006-0000-0000-0000ED010000}">
      <text>
        <r>
          <rPr>
            <b/>
            <sz val="8"/>
            <color indexed="81"/>
            <rFont val="Tahoma"/>
            <family val="2"/>
          </rPr>
          <t>sgt:</t>
        </r>
        <r>
          <rPr>
            <sz val="8"/>
            <color indexed="81"/>
            <rFont val="Tahoma"/>
            <family val="2"/>
          </rPr>
          <t xml:space="preserve">
was 0</t>
        </r>
      </text>
    </comment>
    <comment ref="F105" authorId="2" shapeId="0" xr:uid="{00000000-0006-0000-0000-0000EE010000}">
      <text>
        <r>
          <rPr>
            <b/>
            <sz val="8"/>
            <color indexed="81"/>
            <rFont val="Tahoma"/>
            <family val="2"/>
          </rPr>
          <t>William J. Cramer:</t>
        </r>
        <r>
          <rPr>
            <sz val="8"/>
            <color indexed="81"/>
            <rFont val="Tahoma"/>
            <family val="2"/>
          </rPr>
          <t xml:space="preserve">
added HOSTILE</t>
        </r>
      </text>
    </comment>
    <comment ref="AD105" authorId="0" shapeId="0" xr:uid="{00000000-0006-0000-0000-0000EF010000}">
      <text>
        <r>
          <rPr>
            <b/>
            <sz val="8"/>
            <color indexed="81"/>
            <rFont val="Tahoma"/>
            <family val="2"/>
          </rPr>
          <t>sgt:</t>
        </r>
        <r>
          <rPr>
            <sz val="8"/>
            <color indexed="81"/>
            <rFont val="Tahoma"/>
            <family val="2"/>
          </rPr>
          <t xml:space="preserve">
was 0</t>
        </r>
      </text>
    </comment>
    <comment ref="AF105" authorId="2" shapeId="0" xr:uid="{00000000-0006-0000-0000-0000F0010000}">
      <text>
        <r>
          <rPr>
            <b/>
            <sz val="8"/>
            <color indexed="81"/>
            <rFont val="Tahoma"/>
            <family val="2"/>
          </rPr>
          <t>William J. Cramer:</t>
        </r>
        <r>
          <rPr>
            <sz val="8"/>
            <color indexed="81"/>
            <rFont val="Tahoma"/>
            <family val="2"/>
          </rPr>
          <t xml:space="preserve">
was blank</t>
        </r>
      </text>
    </comment>
    <comment ref="AL105" authorId="0" shapeId="0" xr:uid="{00000000-0006-0000-0000-0000F1010000}">
      <text>
        <r>
          <rPr>
            <b/>
            <sz val="8"/>
            <color indexed="81"/>
            <rFont val="Tahoma"/>
            <family val="2"/>
          </rPr>
          <t>sgt:</t>
        </r>
        <r>
          <rPr>
            <sz val="8"/>
            <color indexed="81"/>
            <rFont val="Tahoma"/>
            <family val="2"/>
          </rPr>
          <t xml:space="preserve">
was 90
increased to 100 to get reasonable power at expected look angles and ranges</t>
        </r>
      </text>
    </comment>
    <comment ref="BH105" authorId="2" shapeId="0" xr:uid="{00000000-0006-0000-0000-0000F2010000}">
      <text>
        <r>
          <rPr>
            <b/>
            <sz val="8"/>
            <color indexed="81"/>
            <rFont val="Tahoma"/>
            <family val="2"/>
          </rPr>
          <t>William J. Cramer:</t>
        </r>
        <r>
          <rPr>
            <sz val="8"/>
            <color indexed="81"/>
            <rFont val="Tahoma"/>
            <family val="2"/>
          </rPr>
          <t xml:space="preserve">
was 0</t>
        </r>
      </text>
    </comment>
    <comment ref="BZ105" authorId="0" shapeId="0" xr:uid="{00000000-0006-0000-0000-0000F3010000}">
      <text>
        <r>
          <rPr>
            <b/>
            <sz val="8"/>
            <color indexed="81"/>
            <rFont val="Tahoma"/>
            <family val="2"/>
          </rPr>
          <t>sgt:</t>
        </r>
        <r>
          <rPr>
            <sz val="8"/>
            <color indexed="81"/>
            <rFont val="Tahoma"/>
            <family val="2"/>
          </rPr>
          <t xml:space="preserve">
was land, changed to match DESCRIPTION field</t>
        </r>
      </text>
    </comment>
    <comment ref="AF106" authorId="2" shapeId="0" xr:uid="{00000000-0006-0000-0000-0000F4010000}">
      <text>
        <r>
          <rPr>
            <b/>
            <sz val="8"/>
            <color indexed="81"/>
            <rFont val="Tahoma"/>
            <family val="2"/>
          </rPr>
          <t>William J. Cramer:</t>
        </r>
        <r>
          <rPr>
            <sz val="8"/>
            <color indexed="81"/>
            <rFont val="Tahoma"/>
            <family val="2"/>
          </rPr>
          <t xml:space="preserve">
was blank</t>
        </r>
      </text>
    </comment>
    <comment ref="AH106" authorId="0" shapeId="0" xr:uid="{00000000-0006-0000-0000-0000F5010000}">
      <text>
        <r>
          <rPr>
            <b/>
            <sz val="8"/>
            <color indexed="81"/>
            <rFont val="Tahoma"/>
            <family val="2"/>
          </rPr>
          <t>sgt:</t>
        </r>
        <r>
          <rPr>
            <sz val="8"/>
            <color indexed="81"/>
            <rFont val="Tahoma"/>
            <family val="2"/>
          </rPr>
          <t xml:space="preserve">
was 6</t>
        </r>
      </text>
    </comment>
    <comment ref="AI106" authorId="2" shapeId="0" xr:uid="{00000000-0006-0000-0000-0000F6010000}">
      <text>
        <r>
          <rPr>
            <b/>
            <sz val="8"/>
            <color indexed="81"/>
            <rFont val="Tahoma"/>
            <family val="2"/>
          </rPr>
          <t>William J. Cramer:</t>
        </r>
        <r>
          <rPr>
            <sz val="8"/>
            <color indexed="81"/>
            <rFont val="Tahoma"/>
            <family val="2"/>
          </rPr>
          <t xml:space="preserve">
was 3</t>
        </r>
      </text>
    </comment>
    <comment ref="AJ106" authorId="2" shapeId="0" xr:uid="{00000000-0006-0000-0000-0000F7010000}">
      <text>
        <r>
          <rPr>
            <b/>
            <sz val="8"/>
            <color indexed="81"/>
            <rFont val="Tahoma"/>
            <family val="2"/>
          </rPr>
          <t>William J. Cramer:</t>
        </r>
        <r>
          <rPr>
            <sz val="8"/>
            <color indexed="81"/>
            <rFont val="Tahoma"/>
            <family val="2"/>
          </rPr>
          <t xml:space="preserve">
was 10</t>
        </r>
      </text>
    </comment>
    <comment ref="AR106" authorId="0" shapeId="0" xr:uid="{00000000-0006-0000-0000-0000F8010000}">
      <text>
        <r>
          <rPr>
            <b/>
            <sz val="8"/>
            <color indexed="81"/>
            <rFont val="Tahoma"/>
            <family val="2"/>
          </rPr>
          <t>sgt:</t>
        </r>
        <r>
          <rPr>
            <sz val="8"/>
            <color indexed="81"/>
            <rFont val="Tahoma"/>
            <family val="2"/>
          </rPr>
          <t xml:space="preserve">
was 4</t>
        </r>
      </text>
    </comment>
    <comment ref="AS106" authorId="0" shapeId="0" xr:uid="{00000000-0006-0000-0000-0000F9010000}">
      <text>
        <r>
          <rPr>
            <b/>
            <sz val="8"/>
            <color indexed="81"/>
            <rFont val="Tahoma"/>
            <family val="2"/>
          </rPr>
          <t>sgt:</t>
        </r>
        <r>
          <rPr>
            <sz val="8"/>
            <color indexed="81"/>
            <rFont val="Tahoma"/>
            <family val="2"/>
          </rPr>
          <t xml:space="preserve">
was 6</t>
        </r>
      </text>
    </comment>
    <comment ref="BE106" authorId="2" shapeId="0" xr:uid="{00000000-0006-0000-0000-0000FA010000}">
      <text>
        <r>
          <rPr>
            <b/>
            <sz val="8"/>
            <color indexed="81"/>
            <rFont val="Tahoma"/>
            <family val="2"/>
          </rPr>
          <t>William J. Cramer:</t>
        </r>
        <r>
          <rPr>
            <sz val="8"/>
            <color indexed="81"/>
            <rFont val="Tahoma"/>
            <family val="2"/>
          </rPr>
          <t xml:space="preserve">
was 0</t>
        </r>
      </text>
    </comment>
    <comment ref="R107" authorId="2" shapeId="0" xr:uid="{00000000-0006-0000-0000-0000FB010000}">
      <text>
        <r>
          <rPr>
            <b/>
            <sz val="8"/>
            <color indexed="81"/>
            <rFont val="Tahoma"/>
            <family val="2"/>
          </rPr>
          <t>William J. Cramer:</t>
        </r>
        <r>
          <rPr>
            <sz val="8"/>
            <color indexed="81"/>
            <rFont val="Tahoma"/>
            <family val="2"/>
          </rPr>
          <t xml:space="preserve">
was 250</t>
        </r>
      </text>
    </comment>
    <comment ref="S107" authorId="2" shapeId="0" xr:uid="{00000000-0006-0000-0000-0000FC010000}">
      <text>
        <r>
          <rPr>
            <b/>
            <sz val="8"/>
            <color indexed="81"/>
            <rFont val="Tahoma"/>
            <family val="2"/>
          </rPr>
          <t>William J. Cramer:</t>
        </r>
        <r>
          <rPr>
            <sz val="8"/>
            <color indexed="81"/>
            <rFont val="Tahoma"/>
            <family val="2"/>
          </rPr>
          <t xml:space="preserve">
was 270</t>
        </r>
      </text>
    </comment>
    <comment ref="W107" authorId="2" shapeId="0" xr:uid="{00000000-0006-0000-0000-0000FD010000}">
      <text>
        <r>
          <rPr>
            <b/>
            <sz val="8"/>
            <color indexed="81"/>
            <rFont val="Tahoma"/>
            <family val="2"/>
          </rPr>
          <t>William J. Cramer:</t>
        </r>
        <r>
          <rPr>
            <sz val="8"/>
            <color indexed="81"/>
            <rFont val="Tahoma"/>
            <family val="2"/>
          </rPr>
          <t xml:space="preserve">
was 0.5</t>
        </r>
      </text>
    </comment>
    <comment ref="X107" authorId="2" shapeId="0" xr:uid="{00000000-0006-0000-0000-0000FE010000}">
      <text>
        <r>
          <rPr>
            <b/>
            <sz val="8"/>
            <color indexed="81"/>
            <rFont val="Tahoma"/>
            <family val="2"/>
          </rPr>
          <t>William J. Cramer:</t>
        </r>
        <r>
          <rPr>
            <sz val="8"/>
            <color indexed="81"/>
            <rFont val="Tahoma"/>
            <family val="2"/>
          </rPr>
          <t xml:space="preserve">
was 0.5</t>
        </r>
      </text>
    </comment>
    <comment ref="W108" authorId="2" shapeId="0" xr:uid="{00000000-0006-0000-0000-0000FF010000}">
      <text>
        <r>
          <rPr>
            <b/>
            <sz val="8"/>
            <color indexed="81"/>
            <rFont val="Tahoma"/>
            <family val="2"/>
          </rPr>
          <t>William J. Cramer:</t>
        </r>
        <r>
          <rPr>
            <sz val="8"/>
            <color indexed="81"/>
            <rFont val="Tahoma"/>
            <family val="2"/>
          </rPr>
          <t xml:space="preserve">
was 0.5</t>
        </r>
      </text>
    </comment>
    <comment ref="X108" authorId="2" shapeId="0" xr:uid="{00000000-0006-0000-0000-000000020000}">
      <text>
        <r>
          <rPr>
            <b/>
            <sz val="8"/>
            <color indexed="81"/>
            <rFont val="Tahoma"/>
            <family val="2"/>
          </rPr>
          <t>William J. Cramer:</t>
        </r>
        <r>
          <rPr>
            <sz val="8"/>
            <color indexed="81"/>
            <rFont val="Tahoma"/>
            <family val="2"/>
          </rPr>
          <t xml:space="preserve">
was 0.5</t>
        </r>
      </text>
    </comment>
    <comment ref="AD108" authorId="0" shapeId="0" xr:uid="{00000000-0006-0000-0000-000001020000}">
      <text>
        <r>
          <rPr>
            <b/>
            <sz val="8"/>
            <color indexed="81"/>
            <rFont val="Tahoma"/>
            <family val="2"/>
          </rPr>
          <t>sgt:</t>
        </r>
        <r>
          <rPr>
            <sz val="8"/>
            <color indexed="81"/>
            <rFont val="Tahoma"/>
            <family val="2"/>
          </rPr>
          <t xml:space="preserve">
was 0</t>
        </r>
      </text>
    </comment>
    <comment ref="AF108" authorId="0" shapeId="0" xr:uid="{00000000-0006-0000-0000-000002020000}">
      <text>
        <r>
          <rPr>
            <b/>
            <sz val="8"/>
            <color indexed="81"/>
            <rFont val="Tahoma"/>
            <family val="2"/>
          </rPr>
          <t>sgt:</t>
        </r>
        <r>
          <rPr>
            <sz val="8"/>
            <color indexed="81"/>
            <rFont val="Tahoma"/>
            <family val="2"/>
          </rPr>
          <t xml:space="preserve">
was 9999</t>
        </r>
      </text>
    </comment>
    <comment ref="R109" authorId="2" shapeId="0" xr:uid="{00000000-0006-0000-0000-000003020000}">
      <text>
        <r>
          <rPr>
            <b/>
            <sz val="8"/>
            <color indexed="81"/>
            <rFont val="Tahoma"/>
            <family val="2"/>
          </rPr>
          <t>William J. Cramer:</t>
        </r>
        <r>
          <rPr>
            <sz val="8"/>
            <color indexed="81"/>
            <rFont val="Tahoma"/>
            <family val="2"/>
          </rPr>
          <t xml:space="preserve">
was 250</t>
        </r>
      </text>
    </comment>
    <comment ref="S109" authorId="2" shapeId="0" xr:uid="{00000000-0006-0000-0000-000004020000}">
      <text>
        <r>
          <rPr>
            <b/>
            <sz val="8"/>
            <color indexed="81"/>
            <rFont val="Tahoma"/>
            <family val="2"/>
          </rPr>
          <t>William J. Cramer:</t>
        </r>
        <r>
          <rPr>
            <sz val="8"/>
            <color indexed="81"/>
            <rFont val="Tahoma"/>
            <family val="2"/>
          </rPr>
          <t xml:space="preserve">
was 270</t>
        </r>
      </text>
    </comment>
    <comment ref="W109" authorId="2" shapeId="0" xr:uid="{00000000-0006-0000-0000-000005020000}">
      <text>
        <r>
          <rPr>
            <b/>
            <sz val="8"/>
            <color indexed="81"/>
            <rFont val="Tahoma"/>
            <family val="2"/>
          </rPr>
          <t>William J. Cramer:</t>
        </r>
        <r>
          <rPr>
            <sz val="8"/>
            <color indexed="81"/>
            <rFont val="Tahoma"/>
            <family val="2"/>
          </rPr>
          <t xml:space="preserve">
was 0.5</t>
        </r>
      </text>
    </comment>
    <comment ref="X109" authorId="2" shapeId="0" xr:uid="{00000000-0006-0000-0000-000006020000}">
      <text>
        <r>
          <rPr>
            <b/>
            <sz val="8"/>
            <color indexed="81"/>
            <rFont val="Tahoma"/>
            <family val="2"/>
          </rPr>
          <t>William J. Cramer:</t>
        </r>
        <r>
          <rPr>
            <sz val="8"/>
            <color indexed="81"/>
            <rFont val="Tahoma"/>
            <family val="2"/>
          </rPr>
          <t xml:space="preserve">
was 0.5</t>
        </r>
      </text>
    </comment>
    <comment ref="Z110" authorId="0" shapeId="0" xr:uid="{00000000-0006-0000-0000-000007020000}">
      <text>
        <r>
          <rPr>
            <b/>
            <sz val="8"/>
            <color indexed="81"/>
            <rFont val="Tahoma"/>
            <family val="2"/>
          </rPr>
          <t xml:space="preserve">sgt:
</t>
        </r>
        <r>
          <rPr>
            <sz val="8"/>
            <color indexed="81"/>
            <rFont val="Tahoma"/>
            <family val="2"/>
          </rPr>
          <t>was 10</t>
        </r>
      </text>
    </comment>
    <comment ref="AA110" authorId="0" shapeId="0" xr:uid="{00000000-0006-0000-0000-000008020000}">
      <text>
        <r>
          <rPr>
            <b/>
            <sz val="8"/>
            <color indexed="81"/>
            <rFont val="Tahoma"/>
            <family val="2"/>
          </rPr>
          <t>sgt:</t>
        </r>
        <r>
          <rPr>
            <sz val="8"/>
            <color indexed="81"/>
            <rFont val="Tahoma"/>
            <family val="2"/>
          </rPr>
          <t xml:space="preserve">
was 10</t>
        </r>
      </text>
    </comment>
    <comment ref="AI110" authorId="0" shapeId="0" xr:uid="{00000000-0006-0000-0000-000009020000}">
      <text>
        <r>
          <rPr>
            <b/>
            <sz val="8"/>
            <color indexed="81"/>
            <rFont val="Tahoma"/>
            <family val="2"/>
          </rPr>
          <t>sgt:</t>
        </r>
        <r>
          <rPr>
            <sz val="8"/>
            <color indexed="81"/>
            <rFont val="Tahoma"/>
            <family val="2"/>
          </rPr>
          <t xml:space="preserve">
was 3</t>
        </r>
      </text>
    </comment>
    <comment ref="AJ110" authorId="0" shapeId="0" xr:uid="{00000000-0006-0000-0000-00000A020000}">
      <text>
        <r>
          <rPr>
            <b/>
            <sz val="8"/>
            <color indexed="81"/>
            <rFont val="Tahoma"/>
            <family val="2"/>
          </rPr>
          <t>sgt:</t>
        </r>
        <r>
          <rPr>
            <sz val="8"/>
            <color indexed="81"/>
            <rFont val="Tahoma"/>
            <family val="2"/>
          </rPr>
          <t xml:space="preserve">
was 8</t>
        </r>
      </text>
    </comment>
    <comment ref="AS110" authorId="2" shapeId="0" xr:uid="{00000000-0006-0000-0000-00000B020000}">
      <text>
        <r>
          <rPr>
            <b/>
            <sz val="8"/>
            <color indexed="81"/>
            <rFont val="Tahoma"/>
            <family val="2"/>
          </rPr>
          <t>William J. Cramer:</t>
        </r>
        <r>
          <rPr>
            <sz val="8"/>
            <color indexed="81"/>
            <rFont val="Tahoma"/>
            <family val="2"/>
          </rPr>
          <t xml:space="preserve">
was 8</t>
        </r>
      </text>
    </comment>
    <comment ref="AZ110" authorId="0" shapeId="0" xr:uid="{00000000-0006-0000-0000-00000C020000}">
      <text>
        <r>
          <rPr>
            <b/>
            <sz val="8"/>
            <color indexed="81"/>
            <rFont val="Tahoma"/>
            <family val="2"/>
          </rPr>
          <t>sgt:</t>
        </r>
        <r>
          <rPr>
            <sz val="8"/>
            <color indexed="81"/>
            <rFont val="Tahoma"/>
            <family val="2"/>
          </rPr>
          <t xml:space="preserve">
was 7</t>
        </r>
      </text>
    </comment>
    <comment ref="Z111" authorId="2" shapeId="0" xr:uid="{00000000-0006-0000-0000-00000D020000}">
      <text>
        <r>
          <rPr>
            <b/>
            <sz val="8"/>
            <color indexed="81"/>
            <rFont val="Tahoma"/>
            <family val="2"/>
          </rPr>
          <t>William J. Cramer:</t>
        </r>
        <r>
          <rPr>
            <sz val="8"/>
            <color indexed="81"/>
            <rFont val="Tahoma"/>
            <family val="2"/>
          </rPr>
          <t xml:space="preserve">
was 2</t>
        </r>
      </text>
    </comment>
    <comment ref="AA111" authorId="2" shapeId="0" xr:uid="{00000000-0006-0000-0000-00000E020000}">
      <text>
        <r>
          <rPr>
            <b/>
            <sz val="8"/>
            <color indexed="81"/>
            <rFont val="Tahoma"/>
            <family val="2"/>
          </rPr>
          <t>William J. Cramer:</t>
        </r>
        <r>
          <rPr>
            <sz val="8"/>
            <color indexed="81"/>
            <rFont val="Tahoma"/>
            <family val="2"/>
          </rPr>
          <t xml:space="preserve">
was 2</t>
        </r>
      </text>
    </comment>
    <comment ref="AB111" authorId="2" shapeId="0" xr:uid="{00000000-0006-0000-0000-00000F020000}">
      <text>
        <r>
          <rPr>
            <b/>
            <sz val="8"/>
            <color indexed="81"/>
            <rFont val="Tahoma"/>
            <family val="2"/>
          </rPr>
          <t>William J. Cramer:</t>
        </r>
        <r>
          <rPr>
            <sz val="8"/>
            <color indexed="81"/>
            <rFont val="Tahoma"/>
            <family val="2"/>
          </rPr>
          <t xml:space="preserve">
was ELECTRICAL_AZIMUTH_BIDIRECTIONAL
(2 az bar, 20 beam/bar, 50msec dwell/beam)
(2 az bar, 20 beam/bar, 8000 pri/beam)</t>
        </r>
      </text>
    </comment>
    <comment ref="AF111" authorId="2" shapeId="0" xr:uid="{00000000-0006-0000-0000-000010020000}">
      <text>
        <r>
          <rPr>
            <b/>
            <sz val="8"/>
            <color indexed="81"/>
            <rFont val="Tahoma"/>
            <family val="2"/>
          </rPr>
          <t>William J. Cramer:</t>
        </r>
        <r>
          <rPr>
            <sz val="8"/>
            <color indexed="81"/>
            <rFont val="Tahoma"/>
            <family val="2"/>
          </rPr>
          <t xml:space="preserve">
was 0</t>
        </r>
      </text>
    </comment>
    <comment ref="AR111" authorId="2" shapeId="0" xr:uid="{00000000-0006-0000-0000-000011020000}">
      <text>
        <r>
          <rPr>
            <b/>
            <sz val="8"/>
            <color indexed="81"/>
            <rFont val="Tahoma"/>
            <family val="2"/>
          </rPr>
          <t>William J. Cramer:</t>
        </r>
        <r>
          <rPr>
            <sz val="8"/>
            <color indexed="81"/>
            <rFont val="Tahoma"/>
            <family val="2"/>
          </rPr>
          <t xml:space="preserve">
was 2</t>
        </r>
      </text>
    </comment>
    <comment ref="AS111" authorId="0" shapeId="0" xr:uid="{00000000-0006-0000-0000-000012020000}">
      <text>
        <r>
          <rPr>
            <b/>
            <sz val="8"/>
            <color indexed="81"/>
            <rFont val="Tahoma"/>
            <family val="2"/>
          </rPr>
          <t>sgt:</t>
        </r>
        <r>
          <rPr>
            <sz val="8"/>
            <color indexed="81"/>
            <rFont val="Tahoma"/>
            <family val="2"/>
          </rPr>
          <t xml:space="preserve">
was 6</t>
        </r>
      </text>
    </comment>
    <comment ref="AY111" authorId="2" shapeId="0" xr:uid="{00000000-0006-0000-0000-000013020000}">
      <text>
        <r>
          <rPr>
            <b/>
            <sz val="8"/>
            <color indexed="81"/>
            <rFont val="Tahoma"/>
            <family val="2"/>
          </rPr>
          <t>William J. Cramer:</t>
        </r>
        <r>
          <rPr>
            <sz val="8"/>
            <color indexed="81"/>
            <rFont val="Tahoma"/>
            <family val="2"/>
          </rPr>
          <t xml:space="preserve">
was 1</t>
        </r>
      </text>
    </comment>
    <comment ref="AZ111" authorId="0" shapeId="0" xr:uid="{00000000-0006-0000-0000-000014020000}">
      <text>
        <r>
          <rPr>
            <b/>
            <sz val="8"/>
            <color indexed="81"/>
            <rFont val="Tahoma"/>
            <family val="2"/>
          </rPr>
          <t>sgt:</t>
        </r>
        <r>
          <rPr>
            <sz val="8"/>
            <color indexed="81"/>
            <rFont val="Tahoma"/>
            <family val="2"/>
          </rPr>
          <t xml:space="preserve">
was 7</t>
        </r>
      </text>
    </comment>
    <comment ref="BA111" authorId="2" shapeId="0" xr:uid="{00000000-0006-0000-0000-000015020000}">
      <text>
        <r>
          <rPr>
            <b/>
            <sz val="8"/>
            <color indexed="81"/>
            <rFont val="Tahoma"/>
            <family val="2"/>
          </rPr>
          <t>William J. Cramer:</t>
        </r>
        <r>
          <rPr>
            <sz val="8"/>
            <color indexed="81"/>
            <rFont val="Tahoma"/>
            <family val="2"/>
          </rPr>
          <t xml:space="preserve">
was blank</t>
        </r>
      </text>
    </comment>
    <comment ref="BB111" authorId="2" shapeId="0" xr:uid="{00000000-0006-0000-0000-000016020000}">
      <text>
        <r>
          <rPr>
            <b/>
            <sz val="8"/>
            <color indexed="81"/>
            <rFont val="Tahoma"/>
            <family val="2"/>
          </rPr>
          <t>William J. Cramer:</t>
        </r>
        <r>
          <rPr>
            <sz val="8"/>
            <color indexed="81"/>
            <rFont val="Tahoma"/>
            <family val="2"/>
          </rPr>
          <t xml:space="preserve">
was blank</t>
        </r>
      </text>
    </comment>
    <comment ref="BC111" authorId="2" shapeId="0" xr:uid="{00000000-0006-0000-0000-000017020000}">
      <text>
        <r>
          <rPr>
            <b/>
            <sz val="8"/>
            <color indexed="81"/>
            <rFont val="Tahoma"/>
            <family val="2"/>
          </rPr>
          <t>William J. Cramer:</t>
        </r>
        <r>
          <rPr>
            <sz val="8"/>
            <color indexed="81"/>
            <rFont val="Tahoma"/>
            <family val="2"/>
          </rPr>
          <t xml:space="preserve">
was blank</t>
        </r>
      </text>
    </comment>
    <comment ref="BD111" authorId="2" shapeId="0" xr:uid="{00000000-0006-0000-0000-000018020000}">
      <text>
        <r>
          <rPr>
            <b/>
            <sz val="8"/>
            <color indexed="81"/>
            <rFont val="Tahoma"/>
            <family val="2"/>
          </rPr>
          <t>William J. Cramer:</t>
        </r>
        <r>
          <rPr>
            <sz val="8"/>
            <color indexed="81"/>
            <rFont val="Tahoma"/>
            <family val="2"/>
          </rPr>
          <t xml:space="preserve">
was blank</t>
        </r>
      </text>
    </comment>
    <comment ref="BF111" authorId="2" shapeId="0" xr:uid="{00000000-0006-0000-0000-000019020000}">
      <text>
        <r>
          <rPr>
            <b/>
            <sz val="8"/>
            <color indexed="81"/>
            <rFont val="Tahoma"/>
            <family val="2"/>
          </rPr>
          <t>William J. Cramer:</t>
        </r>
        <r>
          <rPr>
            <sz val="8"/>
            <color indexed="81"/>
            <rFont val="Tahoma"/>
            <family val="2"/>
          </rPr>
          <t xml:space="preserve">
was blank</t>
        </r>
      </text>
    </comment>
    <comment ref="BG111" authorId="2" shapeId="0" xr:uid="{00000000-0006-0000-0000-00001A020000}">
      <text>
        <r>
          <rPr>
            <b/>
            <sz val="8"/>
            <color indexed="81"/>
            <rFont val="Tahoma"/>
            <family val="2"/>
          </rPr>
          <t>William J. Cramer:</t>
        </r>
        <r>
          <rPr>
            <sz val="8"/>
            <color indexed="81"/>
            <rFont val="Tahoma"/>
            <family val="2"/>
          </rPr>
          <t xml:space="preserve">
was blank</t>
        </r>
      </text>
    </comment>
    <comment ref="BH111" authorId="2" shapeId="0" xr:uid="{00000000-0006-0000-0000-00001B020000}">
      <text>
        <r>
          <rPr>
            <b/>
            <sz val="8"/>
            <color indexed="81"/>
            <rFont val="Tahoma"/>
            <family val="2"/>
          </rPr>
          <t>William J. Cramer:</t>
        </r>
        <r>
          <rPr>
            <sz val="8"/>
            <color indexed="81"/>
            <rFont val="Tahoma"/>
            <family val="2"/>
          </rPr>
          <t xml:space="preserve">
was blank</t>
        </r>
      </text>
    </comment>
    <comment ref="R112" authorId="2" shapeId="0" xr:uid="{00000000-0006-0000-0000-00001C020000}">
      <text>
        <r>
          <rPr>
            <b/>
            <sz val="8"/>
            <color indexed="81"/>
            <rFont val="Tahoma"/>
            <family val="2"/>
          </rPr>
          <t>William J. Cramer:</t>
        </r>
        <r>
          <rPr>
            <sz val="8"/>
            <color indexed="81"/>
            <rFont val="Tahoma"/>
            <family val="2"/>
          </rPr>
          <t xml:space="preserve">
was 150</t>
        </r>
      </text>
    </comment>
    <comment ref="S112" authorId="2" shapeId="0" xr:uid="{00000000-0006-0000-0000-00001D020000}">
      <text>
        <r>
          <rPr>
            <b/>
            <sz val="8"/>
            <color indexed="81"/>
            <rFont val="Tahoma"/>
            <family val="2"/>
          </rPr>
          <t>William J. Cramer:</t>
        </r>
        <r>
          <rPr>
            <sz val="8"/>
            <color indexed="81"/>
            <rFont val="Tahoma"/>
            <family val="2"/>
          </rPr>
          <t xml:space="preserve">
was 220</t>
        </r>
      </text>
    </comment>
    <comment ref="U112" authorId="2" shapeId="0" xr:uid="{00000000-0006-0000-0000-00001E020000}">
      <text>
        <r>
          <rPr>
            <b/>
            <sz val="8"/>
            <color indexed="81"/>
            <rFont val="Tahoma"/>
            <family val="2"/>
          </rPr>
          <t>William J. Cramer:</t>
        </r>
        <r>
          <rPr>
            <sz val="8"/>
            <color indexed="81"/>
            <rFont val="Tahoma"/>
            <family val="2"/>
          </rPr>
          <t xml:space="preserve">
was STABLE</t>
        </r>
      </text>
    </comment>
    <comment ref="W112" authorId="2" shapeId="0" xr:uid="{00000000-0006-0000-0000-00001F020000}">
      <text>
        <r>
          <rPr>
            <b/>
            <sz val="8"/>
            <color indexed="81"/>
            <rFont val="Tahoma"/>
            <family val="2"/>
          </rPr>
          <t>William J. Cramer:</t>
        </r>
        <r>
          <rPr>
            <sz val="8"/>
            <color indexed="81"/>
            <rFont val="Tahoma"/>
            <family val="2"/>
          </rPr>
          <t xml:space="preserve">
was 140</t>
        </r>
      </text>
    </comment>
    <comment ref="X112" authorId="2" shapeId="0" xr:uid="{00000000-0006-0000-0000-000020020000}">
      <text>
        <r>
          <rPr>
            <b/>
            <sz val="8"/>
            <color indexed="81"/>
            <rFont val="Tahoma"/>
            <family val="2"/>
          </rPr>
          <t>William J. Cramer:</t>
        </r>
        <r>
          <rPr>
            <sz val="8"/>
            <color indexed="81"/>
            <rFont val="Tahoma"/>
            <family val="2"/>
          </rPr>
          <t xml:space="preserve">
was 140</t>
        </r>
      </text>
    </comment>
    <comment ref="Z112" authorId="2" shapeId="0" xr:uid="{00000000-0006-0000-0000-000021020000}">
      <text>
        <r>
          <rPr>
            <b/>
            <sz val="8"/>
            <color indexed="81"/>
            <rFont val="Tahoma"/>
            <family val="2"/>
          </rPr>
          <t>William J. Cramer:</t>
        </r>
        <r>
          <rPr>
            <sz val="8"/>
            <color indexed="81"/>
            <rFont val="Tahoma"/>
            <family val="2"/>
          </rPr>
          <t xml:space="preserve">
was 2</t>
        </r>
      </text>
    </comment>
    <comment ref="AA112" authorId="2" shapeId="0" xr:uid="{00000000-0006-0000-0000-000022020000}">
      <text>
        <r>
          <rPr>
            <b/>
            <sz val="8"/>
            <color indexed="81"/>
            <rFont val="Tahoma"/>
            <family val="2"/>
          </rPr>
          <t>William J. Cramer:</t>
        </r>
        <r>
          <rPr>
            <sz val="8"/>
            <color indexed="81"/>
            <rFont val="Tahoma"/>
            <family val="2"/>
          </rPr>
          <t xml:space="preserve">
was 2</t>
        </r>
      </text>
    </comment>
    <comment ref="AB112" authorId="2" shapeId="0" xr:uid="{00000000-0006-0000-0000-000023020000}">
      <text>
        <r>
          <rPr>
            <b/>
            <sz val="8"/>
            <color indexed="81"/>
            <rFont val="Tahoma"/>
            <family val="2"/>
          </rPr>
          <t>William J. Cramer:</t>
        </r>
        <r>
          <rPr>
            <sz val="8"/>
            <color indexed="81"/>
            <rFont val="Tahoma"/>
            <family val="2"/>
          </rPr>
          <t xml:space="preserve">
was ELECTRICAL_AZIMUTH_BIDIRECTIONAL
(2 az bar, 20 beam/bar, 50msec dwell/beam)
(2 az bar, 20 beam/bar, 220 pri/beam)
</t>
        </r>
        <r>
          <rPr>
            <b/>
            <sz val="8"/>
            <color indexed="81"/>
            <rFont val="Tahoma"/>
            <family val="2"/>
          </rPr>
          <t>sgt:</t>
        </r>
        <r>
          <rPr>
            <sz val="8"/>
            <color indexed="81"/>
            <rFont val="Tahoma"/>
            <family val="2"/>
          </rPr>
          <t xml:space="preserve">
changed 450pri to 10 cw dwells/beam</t>
        </r>
      </text>
    </comment>
    <comment ref="AF112" authorId="2" shapeId="0" xr:uid="{00000000-0006-0000-0000-000024020000}">
      <text>
        <r>
          <rPr>
            <b/>
            <sz val="8"/>
            <color indexed="81"/>
            <rFont val="Tahoma"/>
            <family val="2"/>
          </rPr>
          <t>William J. Cramer:</t>
        </r>
        <r>
          <rPr>
            <sz val="8"/>
            <color indexed="81"/>
            <rFont val="Tahoma"/>
            <family val="2"/>
          </rPr>
          <t xml:space="preserve">
was 0</t>
        </r>
      </text>
    </comment>
    <comment ref="AR112" authorId="2" shapeId="0" xr:uid="{00000000-0006-0000-0000-000025020000}">
      <text>
        <r>
          <rPr>
            <b/>
            <sz val="8"/>
            <color indexed="81"/>
            <rFont val="Tahoma"/>
            <family val="2"/>
          </rPr>
          <t>William J. Cramer:</t>
        </r>
        <r>
          <rPr>
            <sz val="8"/>
            <color indexed="81"/>
            <rFont val="Tahoma"/>
            <family val="2"/>
          </rPr>
          <t xml:space="preserve">
was 2</t>
        </r>
      </text>
    </comment>
    <comment ref="AS112" authorId="0" shapeId="0" xr:uid="{00000000-0006-0000-0000-000026020000}">
      <text>
        <r>
          <rPr>
            <b/>
            <sz val="8"/>
            <color indexed="81"/>
            <rFont val="Tahoma"/>
            <family val="2"/>
          </rPr>
          <t>sgt:</t>
        </r>
        <r>
          <rPr>
            <sz val="8"/>
            <color indexed="81"/>
            <rFont val="Tahoma"/>
            <family val="2"/>
          </rPr>
          <t xml:space="preserve">
was 6</t>
        </r>
      </text>
    </comment>
    <comment ref="AY112" authorId="2" shapeId="0" xr:uid="{00000000-0006-0000-0000-000027020000}">
      <text>
        <r>
          <rPr>
            <b/>
            <sz val="8"/>
            <color indexed="81"/>
            <rFont val="Tahoma"/>
            <family val="2"/>
          </rPr>
          <t>William J. Cramer:</t>
        </r>
        <r>
          <rPr>
            <sz val="8"/>
            <color indexed="81"/>
            <rFont val="Tahoma"/>
            <family val="2"/>
          </rPr>
          <t xml:space="preserve">
was 1</t>
        </r>
      </text>
    </comment>
    <comment ref="AZ112" authorId="0" shapeId="0" xr:uid="{00000000-0006-0000-0000-000028020000}">
      <text>
        <r>
          <rPr>
            <b/>
            <sz val="8"/>
            <color indexed="81"/>
            <rFont val="Tahoma"/>
            <family val="2"/>
          </rPr>
          <t>sgt:</t>
        </r>
        <r>
          <rPr>
            <sz val="8"/>
            <color indexed="81"/>
            <rFont val="Tahoma"/>
            <family val="2"/>
          </rPr>
          <t xml:space="preserve">
was 7</t>
        </r>
      </text>
    </comment>
    <comment ref="L113" authorId="2" shapeId="0" xr:uid="{00000000-0006-0000-0000-000029020000}">
      <text>
        <r>
          <rPr>
            <b/>
            <sz val="8"/>
            <color indexed="81"/>
            <rFont val="Tahoma"/>
            <family val="2"/>
          </rPr>
          <t>William J. Cramer:</t>
        </r>
        <r>
          <rPr>
            <sz val="8"/>
            <color indexed="81"/>
            <rFont val="Tahoma"/>
            <family val="2"/>
          </rPr>
          <t xml:space="preserve">
was 7100</t>
        </r>
      </text>
    </comment>
    <comment ref="M113" authorId="2" shapeId="0" xr:uid="{00000000-0006-0000-0000-00002A020000}">
      <text>
        <r>
          <rPr>
            <b/>
            <sz val="8"/>
            <color indexed="81"/>
            <rFont val="Tahoma"/>
            <family val="2"/>
          </rPr>
          <t>William J. Cramer:</t>
        </r>
        <r>
          <rPr>
            <sz val="8"/>
            <color indexed="81"/>
            <rFont val="Tahoma"/>
            <family val="2"/>
          </rPr>
          <t xml:space="preserve">
was 7200</t>
        </r>
      </text>
    </comment>
    <comment ref="BF113" authorId="2" shapeId="0" xr:uid="{00000000-0006-0000-0000-00002B020000}">
      <text>
        <r>
          <rPr>
            <b/>
            <sz val="8"/>
            <color indexed="81"/>
            <rFont val="Tahoma"/>
            <family val="2"/>
          </rPr>
          <t>William J. Cramer:</t>
        </r>
        <r>
          <rPr>
            <sz val="8"/>
            <color indexed="81"/>
            <rFont val="Tahoma"/>
            <family val="2"/>
          </rPr>
          <t xml:space="preserve">
was 1</t>
        </r>
      </text>
    </comment>
    <comment ref="R114" authorId="2" shapeId="0" xr:uid="{00000000-0006-0000-0000-00002C020000}">
      <text>
        <r>
          <rPr>
            <b/>
            <sz val="8"/>
            <color indexed="81"/>
            <rFont val="Tahoma"/>
            <family val="2"/>
          </rPr>
          <t>William J. Cramer:</t>
        </r>
        <r>
          <rPr>
            <sz val="8"/>
            <color indexed="81"/>
            <rFont val="Tahoma"/>
            <family val="2"/>
          </rPr>
          <t xml:space="preserve">
was 19500</t>
        </r>
      </text>
    </comment>
    <comment ref="S114" authorId="2" shapeId="0" xr:uid="{00000000-0006-0000-0000-00002D020000}">
      <text>
        <r>
          <rPr>
            <b/>
            <sz val="8"/>
            <color indexed="81"/>
            <rFont val="Tahoma"/>
            <family val="2"/>
          </rPr>
          <t>William J. Cramer:</t>
        </r>
        <r>
          <rPr>
            <sz val="8"/>
            <color indexed="81"/>
            <rFont val="Tahoma"/>
            <family val="2"/>
          </rPr>
          <t xml:space="preserve">
was 20000</t>
        </r>
      </text>
    </comment>
    <comment ref="U114" authorId="2" shapeId="0" xr:uid="{00000000-0006-0000-0000-00002E020000}">
      <text>
        <r>
          <rPr>
            <b/>
            <sz val="8"/>
            <color indexed="81"/>
            <rFont val="Tahoma"/>
            <family val="2"/>
          </rPr>
          <t>William J. Cramer:</t>
        </r>
        <r>
          <rPr>
            <sz val="8"/>
            <color indexed="81"/>
            <rFont val="Tahoma"/>
            <family val="2"/>
          </rPr>
          <t xml:space="preserve">
was STABLE</t>
        </r>
      </text>
    </comment>
    <comment ref="W114" authorId="2" shapeId="0" xr:uid="{00000000-0006-0000-0000-00002F020000}">
      <text>
        <r>
          <rPr>
            <b/>
            <sz val="8"/>
            <color indexed="81"/>
            <rFont val="Tahoma"/>
            <family val="2"/>
          </rPr>
          <t>William J. Cramer:</t>
        </r>
        <r>
          <rPr>
            <sz val="8"/>
            <color indexed="81"/>
            <rFont val="Tahoma"/>
            <family val="2"/>
          </rPr>
          <t xml:space="preserve">
was 19000</t>
        </r>
      </text>
    </comment>
    <comment ref="X114" authorId="2" shapeId="0" xr:uid="{00000000-0006-0000-0000-000030020000}">
      <text>
        <r>
          <rPr>
            <b/>
            <sz val="8"/>
            <color indexed="81"/>
            <rFont val="Tahoma"/>
            <family val="2"/>
          </rPr>
          <t>William J. Cramer:</t>
        </r>
        <r>
          <rPr>
            <sz val="8"/>
            <color indexed="81"/>
            <rFont val="Tahoma"/>
            <family val="2"/>
          </rPr>
          <t xml:space="preserve">
was 19000</t>
        </r>
      </text>
    </comment>
    <comment ref="BF114" authorId="2" shapeId="0" xr:uid="{00000000-0006-0000-0000-000031020000}">
      <text>
        <r>
          <rPr>
            <b/>
            <sz val="8"/>
            <color indexed="81"/>
            <rFont val="Tahoma"/>
            <family val="2"/>
          </rPr>
          <t>William J. Cramer:</t>
        </r>
        <r>
          <rPr>
            <sz val="8"/>
            <color indexed="81"/>
            <rFont val="Tahoma"/>
            <family val="2"/>
          </rPr>
          <t xml:space="preserve">
was 1</t>
        </r>
      </text>
    </comment>
    <comment ref="AZ115" authorId="0" shapeId="0" xr:uid="{00000000-0006-0000-0000-000032020000}">
      <text>
        <r>
          <rPr>
            <b/>
            <sz val="8"/>
            <color indexed="81"/>
            <rFont val="Tahoma"/>
            <family val="2"/>
          </rPr>
          <t>sgt:</t>
        </r>
        <r>
          <rPr>
            <sz val="8"/>
            <color indexed="81"/>
            <rFont val="Tahoma"/>
            <family val="2"/>
          </rPr>
          <t xml:space="preserve">
was ?</t>
        </r>
      </text>
    </comment>
    <comment ref="H116" authorId="0" shapeId="0" xr:uid="{00000000-0006-0000-0000-000033020000}">
      <text>
        <r>
          <rPr>
            <b/>
            <sz val="8"/>
            <color indexed="81"/>
            <rFont val="Tahoma"/>
            <family val="2"/>
          </rPr>
          <t>sgt:</t>
        </r>
        <r>
          <rPr>
            <sz val="8"/>
            <color indexed="81"/>
            <rFont val="Tahoma"/>
            <family val="2"/>
          </rPr>
          <t xml:space="preserve">
was SEARCH_ACQUISITION </t>
        </r>
      </text>
    </comment>
    <comment ref="L116" authorId="2" shapeId="0" xr:uid="{00000000-0006-0000-0000-000034020000}">
      <text>
        <r>
          <rPr>
            <b/>
            <sz val="8"/>
            <color indexed="81"/>
            <rFont val="Tahoma"/>
            <family val="2"/>
          </rPr>
          <t>William J. Cramer:</t>
        </r>
        <r>
          <rPr>
            <sz val="8"/>
            <color indexed="81"/>
            <rFont val="Tahoma"/>
            <family val="2"/>
          </rPr>
          <t xml:space="preserve">
was 26100</t>
        </r>
      </text>
    </comment>
    <comment ref="M116" authorId="2" shapeId="0" xr:uid="{00000000-0006-0000-0000-000035020000}">
      <text>
        <r>
          <rPr>
            <b/>
            <sz val="8"/>
            <color indexed="81"/>
            <rFont val="Tahoma"/>
            <family val="2"/>
          </rPr>
          <t>William J. Cramer:</t>
        </r>
        <r>
          <rPr>
            <sz val="8"/>
            <color indexed="81"/>
            <rFont val="Tahoma"/>
            <family val="2"/>
          </rPr>
          <t xml:space="preserve">
was 26300</t>
        </r>
      </text>
    </comment>
    <comment ref="AB116" authorId="0" shapeId="0" xr:uid="{00000000-0006-0000-0000-000036020000}">
      <text>
        <r>
          <rPr>
            <b/>
            <sz val="8"/>
            <color indexed="81"/>
            <rFont val="Tahoma"/>
            <family val="2"/>
          </rPr>
          <t>Steven G. Todd:</t>
        </r>
        <r>
          <rPr>
            <sz val="8"/>
            <color indexed="81"/>
            <rFont val="Tahoma"/>
            <family val="2"/>
          </rPr>
          <t xml:space="preserve">
was MECHANICAL_AZIMUTH_UNIDIRECTIONAL</t>
        </r>
      </text>
    </comment>
    <comment ref="AC116" authorId="0" shapeId="0" xr:uid="{00000000-0006-0000-0000-000037020000}">
      <text>
        <r>
          <rPr>
            <b/>
            <sz val="8"/>
            <color indexed="81"/>
            <rFont val="Tahoma"/>
            <family val="2"/>
          </rPr>
          <t>sgt:</t>
        </r>
        <r>
          <rPr>
            <sz val="8"/>
            <color indexed="81"/>
            <rFont val="Tahoma"/>
            <family val="2"/>
          </rPr>
          <t xml:space="preserve">
was 100</t>
        </r>
      </text>
    </comment>
    <comment ref="AD116" authorId="0" shapeId="0" xr:uid="{00000000-0006-0000-0000-000038020000}">
      <text>
        <r>
          <rPr>
            <b/>
            <sz val="8"/>
            <color indexed="81"/>
            <rFont val="Tahoma"/>
            <family val="2"/>
          </rPr>
          <t>sgt:</t>
        </r>
        <r>
          <rPr>
            <sz val="8"/>
            <color indexed="81"/>
            <rFont val="Tahoma"/>
            <family val="2"/>
          </rPr>
          <t xml:space="preserve">
was 20</t>
        </r>
      </text>
    </comment>
    <comment ref="AY116" authorId="0" shapeId="0" xr:uid="{00000000-0006-0000-0000-000039020000}">
      <text>
        <r>
          <rPr>
            <b/>
            <sz val="8"/>
            <color indexed="81"/>
            <rFont val="Tahoma"/>
            <family val="2"/>
          </rPr>
          <t>sgt:</t>
        </r>
        <r>
          <rPr>
            <sz val="8"/>
            <color indexed="81"/>
            <rFont val="Tahoma"/>
            <family val="2"/>
          </rPr>
          <t xml:space="preserve">
was 1</t>
        </r>
      </text>
    </comment>
    <comment ref="AZ116" authorId="0" shapeId="0" xr:uid="{00000000-0006-0000-0000-00003A020000}">
      <text>
        <r>
          <rPr>
            <b/>
            <sz val="8"/>
            <color indexed="81"/>
            <rFont val="Tahoma"/>
            <family val="2"/>
          </rPr>
          <t>sgt:</t>
        </r>
        <r>
          <rPr>
            <sz val="8"/>
            <color indexed="81"/>
            <rFont val="Tahoma"/>
            <family val="2"/>
          </rPr>
          <t xml:space="preserve">
was 0</t>
        </r>
      </text>
    </comment>
    <comment ref="BA116" authorId="0" shapeId="0" xr:uid="{00000000-0006-0000-0000-00003B020000}">
      <text>
        <r>
          <rPr>
            <b/>
            <sz val="8"/>
            <color indexed="81"/>
            <rFont val="Tahoma"/>
            <family val="2"/>
          </rPr>
          <t>sgt:</t>
        </r>
        <r>
          <rPr>
            <sz val="8"/>
            <color indexed="81"/>
            <rFont val="Tahoma"/>
            <family val="2"/>
          </rPr>
          <t xml:space="preserve">
was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Steven G. Todd</author>
    <author>OwgDskAdmin</author>
    <author>William J. Cramer</author>
  </authors>
  <commentList>
    <comment ref="A23" authorId="0" shapeId="0" xr:uid="{00000000-0006-0000-0200-000001000000}">
      <text>
        <r>
          <rPr>
            <b/>
            <sz val="8"/>
            <color indexed="81"/>
            <rFont val="Tahoma"/>
            <family val="2"/>
          </rPr>
          <t xml:space="preserve">sgt: 
</t>
        </r>
        <r>
          <rPr>
            <sz val="8"/>
            <color indexed="81"/>
            <rFont val="Tahoma"/>
            <family val="2"/>
          </rPr>
          <t>was Scan_Period 1 (sec)
per 5nov09 telecon</t>
        </r>
      </text>
    </comment>
    <comment ref="A24" authorId="0" shapeId="0" xr:uid="{00000000-0006-0000-0200-000002000000}">
      <text>
        <r>
          <rPr>
            <b/>
            <sz val="8"/>
            <color indexed="81"/>
            <rFont val="Tahoma"/>
            <family val="2"/>
          </rPr>
          <t xml:space="preserve">sgt: 
</t>
        </r>
        <r>
          <rPr>
            <sz val="8"/>
            <color indexed="81"/>
            <rFont val="Tahoma"/>
            <family val="2"/>
          </rPr>
          <t>was Scan_Period 2 (sec),
per 5nov09 telecon</t>
        </r>
      </text>
    </comment>
    <comment ref="A26" authorId="1" shapeId="0" xr:uid="{00000000-0006-0000-0200-000003000000}">
      <text>
        <r>
          <rPr>
            <sz val="8"/>
            <color indexed="81"/>
            <rFont val="Tahoma"/>
            <family val="2"/>
          </rPr>
          <t>Unit is msec</t>
        </r>
      </text>
    </comment>
    <comment ref="A27" authorId="1" shapeId="0" xr:uid="{00000000-0006-0000-0200-000004000000}">
      <text>
        <r>
          <rPr>
            <sz val="8"/>
            <color indexed="81"/>
            <rFont val="Tahoma"/>
            <family val="2"/>
          </rPr>
          <t>Angle in degrees over which the antenna sweeps in azimuth. This width does not include 1/2BW. Note that this can exceed 360° (e.g., Helicals).</t>
        </r>
      </text>
    </comment>
    <comment ref="A28" authorId="1" shapeId="0" xr:uid="{00000000-0006-0000-0200-000005000000}">
      <text>
        <r>
          <rPr>
            <sz val="8"/>
            <color indexed="81"/>
            <rFont val="Tahoma"/>
            <family val="2"/>
          </rPr>
          <t xml:space="preserve">This is the speed in deg/msec that the antenna sweeps across the azimuth sector. It is often the az sector/Scan Period, but it may differ if 1) it's a bi-directional scan [factor of 2] or 2) antenna slows/accelerates across the az width. </t>
        </r>
      </text>
    </comment>
    <comment ref="A29" authorId="1" shapeId="0" xr:uid="{00000000-0006-0000-0200-000006000000}">
      <text>
        <r>
          <rPr>
            <sz val="8"/>
            <color indexed="81"/>
            <rFont val="Tahoma"/>
            <family val="2"/>
          </rPr>
          <t>Unit is msec. For mechanical scans, this field is zero. For electronic scans, this is the illumination time, in msec, of the on/off transmission. For Steady scans, this field is traditionally set to 9999 (not required to be set anymore, since the Scan Type defines the mode's scan).</t>
        </r>
      </text>
    </comment>
    <comment ref="A30" authorId="1" shapeId="0" xr:uid="{00000000-0006-0000-0200-000007000000}">
      <text>
        <r>
          <rPr>
            <sz val="8"/>
            <color indexed="81"/>
            <rFont val="Tahoma"/>
            <family val="2"/>
          </rPr>
          <t>This is the minimum Azimuth Beamwidth of the mode in degrees.</t>
        </r>
      </text>
    </comment>
    <comment ref="A31" authorId="1" shapeId="0" xr:uid="{00000000-0006-0000-0200-000008000000}">
      <text>
        <r>
          <rPr>
            <sz val="8"/>
            <color indexed="81"/>
            <rFont val="Tahoma"/>
            <family val="2"/>
          </rPr>
          <t>This is the minimum Elevation Beamwidth of the mode in degrees.</t>
        </r>
      </text>
    </comment>
    <comment ref="A32" authorId="1" shapeId="0" xr:uid="{00000000-0006-0000-0200-000009000000}">
      <text>
        <r>
          <rPr>
            <sz val="8"/>
            <color indexed="81"/>
            <rFont val="Tahoma"/>
            <family val="2"/>
          </rPr>
          <t>This defines the spacing in degrees between azimuth 'bars' of azimuth rasters or 3-D electronic scans.</t>
        </r>
      </text>
    </comment>
    <comment ref="A33" authorId="1" shapeId="0" xr:uid="{00000000-0006-0000-0200-00000A000000}">
      <text>
        <r>
          <rPr>
            <sz val="8"/>
            <color indexed="81"/>
            <rFont val="Tahoma"/>
            <family val="2"/>
          </rPr>
          <t>This defines the number of azimuth 'bars' of azimuth rasters or 3-D electronic scans.</t>
        </r>
      </text>
    </comment>
    <comment ref="A34" authorId="1" shapeId="0" xr:uid="{00000000-0006-0000-0200-00000B000000}">
      <text>
        <r>
          <rPr>
            <sz val="8"/>
            <color indexed="81"/>
            <rFont val="Tahoma"/>
            <family val="2"/>
          </rPr>
          <t>This field represents the maximum instantaneous transmission bandwidth of the signal in MHz. It is intended to define the bandwidth of the data transmission, so the bandwidth of an RF agile transmission can be better matched. This includes FMOP, chirp bandwidths, as well as pulse-to-pulse agility bandwidths. This field is not currently used.</t>
        </r>
      </text>
    </comment>
    <comment ref="A36" authorId="1" shapeId="0" xr:uid="{00000000-0006-0000-0200-00000C000000}">
      <text>
        <r>
          <rPr>
            <sz val="8"/>
            <color indexed="81"/>
            <rFont val="Tahoma"/>
            <family val="2"/>
          </rPr>
          <t>Peak antenna gain of the signal, in dB. Usually, selecting the higher gain if there is a range penalizes the detection of major and sidelobes.</t>
        </r>
      </text>
    </comment>
    <comment ref="A37" authorId="1" shapeId="0" xr:uid="{00000000-0006-0000-0200-00000D000000}">
      <text>
        <r>
          <rPr>
            <sz val="8"/>
            <color indexed="81"/>
            <rFont val="Tahoma"/>
            <family val="2"/>
          </rPr>
          <t>This is the amplitude down from MB of the first major sidelobe, in  dB, if defined; zero if not.  Usually set to the average of the 1st sidelobe range, but there are many exceptions.</t>
        </r>
      </text>
    </comment>
    <comment ref="A38" authorId="1" shapeId="0" xr:uid="{00000000-0006-0000-0200-00000E000000}">
      <text>
        <r>
          <rPr>
            <sz val="8"/>
            <color indexed="81"/>
            <rFont val="Tahoma"/>
            <family val="2"/>
          </rPr>
          <t>This is the azimuth offset from mainbeam of the first sidelobe in degrees, if defined; zero if not.  Usually set to the average of the 1st position range, but there are many exceptions. Need to watch for inconsistencies between the specified lobe positions and the mainbeam beamwidth; sometimes they overlap!</t>
        </r>
      </text>
    </comment>
    <comment ref="A39" authorId="1" shapeId="0" xr:uid="{00000000-0006-0000-0200-00000F000000}">
      <text>
        <r>
          <rPr>
            <sz val="8"/>
            <color indexed="81"/>
            <rFont val="Tahoma"/>
            <family val="2"/>
          </rPr>
          <t>This is the amplitude down from MB of the 2nd major sidelobe, in dB, if defined; zero if not.  Usually set to the average of the 2nd sidelobe range, but there are many exceptions.</t>
        </r>
      </text>
    </comment>
    <comment ref="A40" authorId="1" shapeId="0" xr:uid="{00000000-0006-0000-0200-000010000000}">
      <text>
        <r>
          <rPr>
            <sz val="8"/>
            <color indexed="81"/>
            <rFont val="Tahoma"/>
            <family val="2"/>
          </rPr>
          <t>This is the azimuth offset from mainbeam of the first sidelobe in degrees, if defined; zero if not.  Usually set to the average of the 2nd position range, but there are many exceptions. Need to watch for inconsistencies between the specified lobe positions and the mainbeam beamwidth; sometimes they overlap!</t>
        </r>
      </text>
    </comment>
    <comment ref="A41" authorId="1" shapeId="0" xr:uid="{00000000-0006-0000-0200-000011000000}">
      <text>
        <r>
          <rPr>
            <sz val="8"/>
            <color indexed="81"/>
            <rFont val="Tahoma"/>
            <family val="2"/>
          </rPr>
          <t>This defines the number of elevation 'bars' of elevation rasters or 3-D electronic scans.</t>
        </r>
      </text>
    </comment>
    <comment ref="A42" authorId="1" shapeId="0" xr:uid="{00000000-0006-0000-0200-000012000000}">
      <text>
        <r>
          <rPr>
            <sz val="8"/>
            <color indexed="81"/>
            <rFont val="Tahoma"/>
            <family val="2"/>
          </rPr>
          <t xml:space="preserve">Angle in degrees over which the antenna sweeps in elevation. This width does not include 1/2BW. </t>
        </r>
      </text>
    </comment>
    <comment ref="A43" authorId="1" shapeId="0" xr:uid="{00000000-0006-0000-0200-000013000000}">
      <text>
        <r>
          <rPr>
            <sz val="8"/>
            <color indexed="81"/>
            <rFont val="Tahoma"/>
            <family val="2"/>
          </rPr>
          <t>This is the speed in deg/msec that the antenna sweeps across the elevation sector. It is often the El sector/Scan Period, but it may differ if 1) it's a bi-directional scan [factor of 2], or 2) antenna slows/accelerates across the El width.</t>
        </r>
      </text>
    </comment>
    <comment ref="A44" authorId="1" shapeId="0" xr:uid="{00000000-0006-0000-0200-000014000000}">
      <text>
        <r>
          <rPr>
            <sz val="8"/>
            <color indexed="81"/>
            <rFont val="Tahoma"/>
            <family val="2"/>
          </rPr>
          <t>This is the elevation off set from mainbeam of the first sidelobe in degrees, if defined; zero if not.  Usually set to the average of the 1st position range, but there are many exceptions. Need to watch for inconsistencies between the specified lobe positions and the mainbeam beamwidth; sometimes they overlap!</t>
        </r>
      </text>
    </comment>
    <comment ref="A45" authorId="1" shapeId="0" xr:uid="{00000000-0006-0000-0200-000015000000}">
      <text>
        <r>
          <rPr>
            <sz val="8"/>
            <color indexed="81"/>
            <rFont val="Tahoma"/>
            <family val="2"/>
          </rPr>
          <t>This is the elevation off set from mainbeam of the first sidelobe in degrees, if defined; zero if not.  Usually set to the average of the 2nd position range, but there are many exceptions. Need to watch for inconsistencies between the specified lobe positions and the mainbeam beamwidth; sometimes they overlap!</t>
        </r>
      </text>
    </comment>
    <comment ref="A46" authorId="1" shapeId="0" xr:uid="{00000000-0006-0000-0200-000016000000}">
      <text>
        <r>
          <rPr>
            <sz val="8"/>
            <color indexed="81"/>
            <rFont val="Tahoma"/>
            <family val="2"/>
          </rPr>
          <t xml:space="preserve">This is the antenna polarization of the transmit antenna. It is used to establish the power loss due to the polarization mis-match between transmit and receive antennas. There are several codes:_x000D_
· 1 = Vertical_x000D_
· 2 = Horizontal with X-pol _x000D_
· 3 = Right Hand Circular_x000D_
· 4 = Left Hand circular_x000D_
· 5 = Horizontal without X-pol_x000D_
· 6 = Vertical without X-pol_x000D_
The 'without X-pol' options are selected if it is known that the transmit antenna design specifically suppresses cross polarization in the side/backlobes. Normally, this is not the case, so codes 5 &amp; 6 are rarely used. </t>
        </r>
      </text>
    </comment>
    <comment ref="A47" authorId="1" shapeId="0" xr:uid="{00000000-0006-0000-0200-000017000000}">
      <text>
        <r>
          <rPr>
            <sz val="8"/>
            <color indexed="81"/>
            <rFont val="Tahoma"/>
            <family val="2"/>
          </rPr>
          <t>This is a flag which indicates if the mode is airborne (1), or not (0). This difference to the processing is that the signal is assumed to have centered the platform in its scan, and the affects of closing velocity may be taken into account, depending on the selected scan rule. It has been set for some ground-based signals to force centering on occasion.</t>
        </r>
      </text>
    </comment>
    <comment ref="A48" authorId="1" shapeId="0" xr:uid="{00000000-0006-0000-0200-000018000000}">
      <text>
        <r>
          <rPr>
            <sz val="8"/>
            <color indexed="81"/>
            <rFont val="Tahoma"/>
            <family val="2"/>
          </rPr>
          <t>Indicates if a 3-D scanner is forming its row/columns uniformly (square=0), or if they are jostled by half a beamwidth on alternating rows (hex=1).   Default is square (0).</t>
        </r>
      </text>
    </comment>
    <comment ref="A49" authorId="1" shapeId="0" xr:uid="{00000000-0006-0000-0200-000019000000}">
      <text>
        <r>
          <rPr>
            <sz val="8"/>
            <color indexed="81"/>
            <rFont val="Tahoma"/>
            <family val="2"/>
          </rPr>
          <t>This field defines the fundamental scan type of the mode:_x000D_
· 0 = Circular/Sector_x000D_
· 1 = Electronic Random Scan_x000D_
· 2 = Electronic Raster, Bidirectional in elevation_x000D_
· 3 = Electronic Raster, Unidirectional in elevation_x000D_
· 4 = Electronic Raster, in azimuth_x000D_
· 5 = Mechanical 'El superimposed on Az' scan_x000D_
· 6 = Mechanical Helical_x000D_
· 7 = Mechanical Raster_x000D_
· 8 = Steady_x000D_
 _x000D_
All scan types are mapped to these 9 classes, a few with some loss of fidelity, particularly those which are not symmetric or particularly periodic. Care is needed for some of these 'unusual' scans; good news is that they often they end up in the Steady pile. Raven decodes the fields it needs based on this code, so what's in the unused fields is technically a 'don't care', but its good practice to use the defaults for maintainability (e.g., 0, 9999, 99999).</t>
        </r>
      </text>
    </comment>
    <comment ref="A50" authorId="1" shapeId="0" xr:uid="{00000000-0006-0000-0200-00001A000000}">
      <text>
        <r>
          <rPr>
            <sz val="8"/>
            <color indexed="81"/>
            <rFont val="Tahoma"/>
            <family val="2"/>
          </rPr>
          <t>1 = Location Candidate_x000D_
0 = Not a Loc Candidate</t>
        </r>
      </text>
    </comment>
    <comment ref="A51" authorId="1" shapeId="0" xr:uid="{00000000-0006-0000-0200-00001B000000}">
      <text>
        <r>
          <rPr>
            <sz val="8"/>
            <color indexed="81"/>
            <rFont val="Tahoma"/>
            <family val="2"/>
          </rPr>
          <t>Flag to indicate if the mode is part of a simultaneous multi-beam transmission (1), or not (0). Logic to use this is disabled, but the flag should be set properly regardless.</t>
        </r>
      </text>
    </comment>
    <comment ref="A52" authorId="1" shapeId="0" xr:uid="{00000000-0006-0000-0200-00001C000000}">
      <text>
        <r>
          <rPr>
            <sz val="8"/>
            <color indexed="81"/>
            <rFont val="Tahoma"/>
            <family val="2"/>
          </rPr>
          <t>Flag to indicate that the mode is RF agile (1), or not (0).  This should be set to true if the signal bandwidth is larger than NB or the signal demonstrates pulse-to-pulse agility. The process will then attempt to limit dwell solutions to bandwidths that can span the frequency range (Rfmin-Rfmax). (This is the logic targeted to Signal BW instead).</t>
        </r>
      </text>
    </comment>
    <comment ref="A55" authorId="1" shapeId="0" xr:uid="{00000000-0006-0000-0200-00001D000000}">
      <text>
        <r>
          <rPr>
            <sz val="8"/>
            <color indexed="81"/>
            <rFont val="Tahoma"/>
            <family val="2"/>
          </rPr>
          <t>Flag which indicates that the mode scans bi-directionally in azimuth when set to 1.  Default is 0.</t>
        </r>
      </text>
    </comment>
    <comment ref="A56" authorId="1" shapeId="0" xr:uid="{00000000-0006-0000-0200-00001E000000}">
      <text>
        <r>
          <rPr>
            <sz val="8"/>
            <color indexed="81"/>
            <rFont val="Tahoma"/>
            <family val="2"/>
          </rPr>
          <t>Flag which indicates that the mode scans bi-directionally in elevation when set to 1. Default is 0.</t>
        </r>
      </text>
    </comment>
    <comment ref="A57" authorId="1" shapeId="0" xr:uid="{00000000-0006-0000-0200-00001F000000}">
      <text>
        <r>
          <rPr>
            <sz val="8"/>
            <color indexed="81"/>
            <rFont val="Tahoma"/>
            <family val="2"/>
          </rPr>
          <t>This is the closing airspeed of AI modes in ft/sec.</t>
        </r>
      </text>
    </comment>
    <comment ref="A73" authorId="0" shapeId="0" xr:uid="{00000000-0006-0000-0200-000020000000}">
      <text>
        <r>
          <rPr>
            <b/>
            <sz val="8"/>
            <color indexed="81"/>
            <rFont val="Tahoma"/>
            <family val="2"/>
          </rPr>
          <t>sgt:</t>
        </r>
        <r>
          <rPr>
            <sz val="8"/>
            <color indexed="81"/>
            <rFont val="Tahoma"/>
            <family val="2"/>
          </rPr>
          <t xml:space="preserve">
column added</t>
        </r>
      </text>
    </comment>
    <comment ref="A74" authorId="2" shapeId="0" xr:uid="{00000000-0006-0000-0200-000021000000}">
      <text>
        <r>
          <rPr>
            <b/>
            <sz val="8"/>
            <color indexed="81"/>
            <rFont val="Tahoma"/>
            <family val="2"/>
          </rPr>
          <t>William J. Cramer:</t>
        </r>
        <r>
          <rPr>
            <sz val="8"/>
            <color indexed="81"/>
            <rFont val="Tahoma"/>
            <family val="2"/>
          </rPr>
          <t xml:space="preserve">
Added column.
Land will be Fixed Site.
Sea will be Slow Moving.
Air will be Fast Moving and require a correct AI Speed populated.
Airbornes will be based on emitters with a provided AI Speed.
Land will be the Z0XX series emitters.
Sea will be the Z1XX series emitters.</t>
        </r>
      </text>
    </comment>
  </commentList>
</comments>
</file>

<file path=xl/sharedStrings.xml><?xml version="1.0" encoding="utf-8"?>
<sst xmlns="http://schemas.openxmlformats.org/spreadsheetml/2006/main" count="1299" uniqueCount="345">
  <si>
    <t xml:space="preserve">DESCRIPTION </t>
  </si>
  <si>
    <t xml:space="preserve">Highest_Active_Function </t>
  </si>
  <si>
    <t xml:space="preserve">Freq_Mod </t>
  </si>
  <si>
    <t xml:space="preserve">PRI_Mod_Type </t>
  </si>
  <si>
    <t xml:space="preserve">Simple HOSTILE TRACK Emitter </t>
  </si>
  <si>
    <t>TRACK</t>
  </si>
  <si>
    <t>STABLE</t>
  </si>
  <si>
    <t xml:space="preserve">TRACK </t>
  </si>
  <si>
    <t>ESM or ESM/RWR</t>
  </si>
  <si>
    <t>ESM/RWR</t>
  </si>
  <si>
    <t xml:space="preserve">Simple HOSTILE TA/TT/MG Emitter - TT displayed </t>
  </si>
  <si>
    <t>STAGGER</t>
  </si>
  <si>
    <t>STEADY</t>
  </si>
  <si>
    <t xml:space="preserve">Simple HOSTILE TA/TT/MG Emitter - TA/TT displayed </t>
  </si>
  <si>
    <t xml:space="preserve">TRACK_GUIDANCE </t>
  </si>
  <si>
    <t>Freq_Range(MHz)</t>
  </si>
  <si>
    <t xml:space="preserve">Simple HOSTILE TA/TT/MG Emitter - MG displayed </t>
  </si>
  <si>
    <t xml:space="preserve">GUIDANCE_ILLUMINATION </t>
  </si>
  <si>
    <t>CW</t>
  </si>
  <si>
    <t>Simple HOSTILE ACQUISITION Emitter</t>
  </si>
  <si>
    <t>ACQUISITION</t>
  </si>
  <si>
    <t xml:space="preserve">Simple HOSTILE EW Emitter </t>
  </si>
  <si>
    <t xml:space="preserve">EARLY_WARNING_GCI </t>
  </si>
  <si>
    <t xml:space="preserve">Simple HOSTILE S/TA Emitter </t>
  </si>
  <si>
    <t xml:space="preserve">SEARCH_ACQUISITION </t>
  </si>
  <si>
    <t>ESM</t>
  </si>
  <si>
    <t xml:space="preserve">Simple HOSTILE S Emitter </t>
  </si>
  <si>
    <t xml:space="preserve">SEARCH </t>
  </si>
  <si>
    <t xml:space="preserve">HEIGHT_FINDING </t>
  </si>
  <si>
    <t>PRI_Range(usec)</t>
  </si>
  <si>
    <t>PW_Range(usec)</t>
  </si>
  <si>
    <t>AGILE</t>
  </si>
  <si>
    <t>SINUSOIDAL</t>
  </si>
  <si>
    <t>EID</t>
  </si>
  <si>
    <t>Amb EID</t>
  </si>
  <si>
    <t xml:space="preserve">Simple HOSTILE MG Emitter </t>
  </si>
  <si>
    <t xml:space="preserve">Freq_Max (MHz) </t>
  </si>
  <si>
    <t xml:space="preserve">Freq_Min (MHz) </t>
  </si>
  <si>
    <t>PRI_Min (usec)</t>
  </si>
  <si>
    <t xml:space="preserve">PRI_Max (usec) </t>
  </si>
  <si>
    <t xml:space="preserve">PW_Min (usec) </t>
  </si>
  <si>
    <t xml:space="preserve">PW_Max (usec) </t>
  </si>
  <si>
    <t>S/S</t>
  </si>
  <si>
    <t>TA</t>
  </si>
  <si>
    <t>TT</t>
  </si>
  <si>
    <t>TI</t>
  </si>
  <si>
    <t>20 Amb</t>
  </si>
  <si>
    <t>Alert 3</t>
  </si>
  <si>
    <t>Alert 2</t>
  </si>
  <si>
    <t>Alert 4</t>
  </si>
  <si>
    <t>mmW</t>
  </si>
  <si>
    <t>Alert 1</t>
  </si>
  <si>
    <t xml:space="preserve">Simple NEUTRAL S Emitter </t>
  </si>
  <si>
    <t xml:space="preserve">Simple NEUTRAL HF Emitter </t>
  </si>
  <si>
    <t>Simple HOSTILE TA/TT/MG Emitter - TT displayed</t>
  </si>
  <si>
    <t>Simple HOSTILE TA/TT/MG Emitter - TA displayed</t>
  </si>
  <si>
    <t>Simple HOSTILE TA/TT/MG Emitter - MG displayed</t>
  </si>
  <si>
    <t>ELNOT</t>
  </si>
  <si>
    <t>EMITTER/NATO NAME</t>
  </si>
  <si>
    <t>Index</t>
  </si>
  <si>
    <t>Mode</t>
  </si>
  <si>
    <t xml:space="preserve">Search </t>
  </si>
  <si>
    <t>Simple HOSTILE  S/TA Emitter</t>
  </si>
  <si>
    <t xml:space="preserve">STABLE </t>
  </si>
  <si>
    <t>Multibeam</t>
  </si>
  <si>
    <t xml:space="preserve">Simple HOSTILE AAA </t>
  </si>
  <si>
    <t>FIRE_CONTROL</t>
  </si>
  <si>
    <t>SEARCH</t>
  </si>
  <si>
    <t>ACQUISTION_TRACK</t>
  </si>
  <si>
    <t>Simple HOSTILE AAA</t>
  </si>
  <si>
    <t xml:space="preserve">Simple HOSTILE MG Emitter - MG displayed </t>
  </si>
  <si>
    <t>JITTER</t>
  </si>
  <si>
    <t>Simple HOSTILE S Emitter TA</t>
  </si>
  <si>
    <t>Simple HOSTILE S Emitter TT</t>
  </si>
  <si>
    <t>Simple HOSTILE S Emitter MG</t>
  </si>
  <si>
    <t>Simple FRIENDLY S Emitter HF</t>
  </si>
  <si>
    <t>Simple HOSTILE S Emitter TA/TT</t>
  </si>
  <si>
    <t>SIMPLE HOSTILE MG</t>
  </si>
  <si>
    <t>Simple HOSTILE TA/TT/MG Emitter - TT/MG displayed</t>
  </si>
  <si>
    <t xml:space="preserve">Simple HOSTILE TA Emitter </t>
  </si>
  <si>
    <t xml:space="preserve">Simple FRIENDLY TA Emitter </t>
  </si>
  <si>
    <t xml:space="preserve">Simple HOSTILE HF Emitter </t>
  </si>
  <si>
    <t xml:space="preserve">Simple HOSTILE TT Emitter </t>
  </si>
  <si>
    <t>SAWTOOTH</t>
  </si>
  <si>
    <t>TRIANGLE</t>
  </si>
  <si>
    <t>PRI_Delta</t>
  </si>
  <si>
    <t>PW_Delta</t>
  </si>
  <si>
    <t>Freq Mod Parameters</t>
  </si>
  <si>
    <t>PRI Mod Parameters</t>
  </si>
  <si>
    <t>3 PRI (20 31 49) Dwell for 400 258 163 pulses respectively)</t>
  </si>
  <si>
    <t>ERP (dBm)</t>
  </si>
  <si>
    <t>BeamWidth (deg)</t>
  </si>
  <si>
    <t>Notes</t>
  </si>
  <si>
    <t>Weapons Range (miles)</t>
  </si>
  <si>
    <t>Both frequencies on at the same time</t>
  </si>
  <si>
    <t>4 Freq (2700 2722 2737 2749) Pulse to pulse Freq Agile</t>
  </si>
  <si>
    <t>500 MHz freq range 100 pulse sinusoid</t>
  </si>
  <si>
    <t>+++++--++-+-+ 13 phase shifts per pulse width evenly spaced</t>
  </si>
  <si>
    <t>4 Freq (14511 14741 14598 14633 ) Pulse to pulse Freq Agile</t>
  </si>
  <si>
    <t>3 Freq (2111 2185 2278) pulse to pulse agile</t>
  </si>
  <si>
    <t>All 3 beams on at the same time</t>
  </si>
  <si>
    <t>3 Freq (17011 17044 17089) dwell for100 pulses at each freq</t>
  </si>
  <si>
    <t>Simple Friendly TT Emitter</t>
  </si>
  <si>
    <t>Simple Friendly TA/TT Emitter</t>
  </si>
  <si>
    <t xml:space="preserve">Simple Friendly Search Emitter </t>
  </si>
  <si>
    <t>Both Beams on at the same time</t>
  </si>
  <si>
    <t>Both ack track Beams on at the same time</t>
  </si>
  <si>
    <t>2 position stagger (580 600)</t>
  </si>
  <si>
    <t>2 Posn Stagger (2000 2400)</t>
  </si>
  <si>
    <t xml:space="preserve">STAGGER </t>
  </si>
  <si>
    <t>3 Posn Stagger (1800 2250 1954)</t>
  </si>
  <si>
    <t>4 Posn Stagger (450 470 490 510)</t>
  </si>
  <si>
    <t>2 posn Stagger (250 280)</t>
  </si>
  <si>
    <t>2 Posn Stagger (155 185)</t>
  </si>
  <si>
    <t>Random within PRI Range</t>
  </si>
  <si>
    <t xml:space="preserve"> STAGGER</t>
  </si>
  <si>
    <t>2 posn Stagger (2400 2988)</t>
  </si>
  <si>
    <t>3 Posn Stagger (533 550 570)</t>
  </si>
  <si>
    <t>Long PRI goes with long PW</t>
  </si>
  <si>
    <t>2 Posn Stagger (240 269)</t>
  </si>
  <si>
    <t>4 Posn Stagger (600 641 711 800)</t>
  </si>
  <si>
    <t>2 Posn Stagger  (1150 1250)</t>
  </si>
  <si>
    <t>2 Posn Stagger (900 910)</t>
  </si>
  <si>
    <t>4 Posn Stagger (800 1000 863 921)</t>
  </si>
  <si>
    <t>4 Posn Stagger (1200 1400 1257 1333)</t>
  </si>
  <si>
    <t>2 Posn Stagger (800 1100)</t>
  </si>
  <si>
    <t>2 posn Stagger (600 630)</t>
  </si>
  <si>
    <t>2 posn Stagger 1200 1260)</t>
  </si>
  <si>
    <t>2 posn Stagger (1280 1320)</t>
  </si>
  <si>
    <t>2 Posn Stagger (600 666)</t>
  </si>
  <si>
    <t>5 PRI (800 955 1391 1497 2000) Dwell for 50 pulses each</t>
  </si>
  <si>
    <t>4 Posn Stagger (1900 1770 1600 1550)</t>
  </si>
  <si>
    <t>2 Posn Stagger (700 800)</t>
  </si>
  <si>
    <t>NA</t>
  </si>
  <si>
    <t xml:space="preserve">Simple HOSTILE T/G Emitter </t>
  </si>
  <si>
    <t>One of the two Track modes and one of the two MG modes can be on simulaneously, display as a single weapon system</t>
  </si>
  <si>
    <t>One of 2 search modes, the TT mode, and MG mode can all be active at the same time.  Show as 1 weapon system.</t>
  </si>
  <si>
    <t xml:space="preserve">Simple HOSTILE TT EMITTER </t>
  </si>
  <si>
    <t>Search mode, 1 of 2. T/G mode  can be present at the same time. ESM to correlate to a single emitter.</t>
  </si>
  <si>
    <t>Random Pulse to pulse agile within Freq range</t>
  </si>
  <si>
    <t>16 posn stagger(200 289 212 299 240 253 206 300 230 277 213 250 216 288 211 287)</t>
  </si>
  <si>
    <t>4 PRI (200 249 211 237) Dwell for 50 pulses each)</t>
  </si>
  <si>
    <t>Multifunction Radar (one mode at a time)</t>
  </si>
  <si>
    <t xml:space="preserve">Simple FRIENDLY HF Emitter </t>
  </si>
  <si>
    <t>4 PRI (1400 1421 1431 1449) Dwell for 50 pulses each)</t>
  </si>
  <si>
    <t>Corresponding PRI and PW listed in order</t>
  </si>
  <si>
    <t>Simple Friendly Emitter TA</t>
  </si>
  <si>
    <t>5 PRI (100 455 191 497 333) Dwell for 40 pulses each</t>
  </si>
  <si>
    <t>Anti Aircraft FIRE_CONTROL</t>
  </si>
  <si>
    <t>5 Freq (2111 2133 2147 2168 2197) pulse to pulse agile</t>
  </si>
  <si>
    <t>4 Posn Stagger (600 632 622 642)</t>
  </si>
  <si>
    <t>4 PRI (100 333 421 500) Dwell for 50 pulses each</t>
  </si>
  <si>
    <t>Z111A</t>
  </si>
  <si>
    <t>Z112A</t>
  </si>
  <si>
    <t>Z113A</t>
  </si>
  <si>
    <t>Z114A</t>
  </si>
  <si>
    <t>Z115A</t>
  </si>
  <si>
    <t>Z116A</t>
  </si>
  <si>
    <t>Z117A</t>
  </si>
  <si>
    <t>Z118A</t>
  </si>
  <si>
    <t>Z119A</t>
  </si>
  <si>
    <t>Z120A</t>
  </si>
  <si>
    <t>Z121A</t>
  </si>
  <si>
    <t>Z122A</t>
  </si>
  <si>
    <t>Z130A</t>
  </si>
  <si>
    <t>Z131A</t>
  </si>
  <si>
    <t>Z132A</t>
  </si>
  <si>
    <t>Z150A</t>
  </si>
  <si>
    <t>Z151A</t>
  </si>
  <si>
    <t>Z152A</t>
  </si>
  <si>
    <t>Z153A</t>
  </si>
  <si>
    <t>Scan_Pattern</t>
  </si>
  <si>
    <t xml:space="preserve">Dead Time x.xx </t>
  </si>
  <si>
    <t xml:space="preserve">Az Sector Width xxx.x </t>
  </si>
  <si>
    <t xml:space="preserve">Az Slew Rate x.xxxxx </t>
  </si>
  <si>
    <t xml:space="preserve">TIMB xxxx.x </t>
  </si>
  <si>
    <t xml:space="preserve">Az BW xx.x </t>
  </si>
  <si>
    <t xml:space="preserve">El BW xx.x </t>
  </si>
  <si>
    <t xml:space="preserve">Az Bar step xx.x </t>
  </si>
  <si>
    <t xml:space="preserve">Num Az Pos xxx.x </t>
  </si>
  <si>
    <t xml:space="preserve">Signal BW xxx.x </t>
  </si>
  <si>
    <t xml:space="preserve">Ant Gain xx.x </t>
  </si>
  <si>
    <t xml:space="preserve">1st dwn xx.x </t>
  </si>
  <si>
    <t xml:space="preserve">1st Az Lobe Pos xxx.x </t>
  </si>
  <si>
    <t xml:space="preserve">2nd dwn xx.x </t>
  </si>
  <si>
    <t xml:space="preserve">2nd Az Lobe Pos xxx.x </t>
  </si>
  <si>
    <t xml:space="preserve">Ant Pol x </t>
  </si>
  <si>
    <t xml:space="preserve">Pd x.xxxxx </t>
  </si>
  <si>
    <t xml:space="preserve">Turn-on Range xxxx.xx </t>
  </si>
  <si>
    <t xml:space="preserve">Bi-Dir Azimuth x </t>
  </si>
  <si>
    <t xml:space="preserve">Bi-Dir Elevation x </t>
  </si>
  <si>
    <t xml:space="preserve">Num EL Pos xxx </t>
  </si>
  <si>
    <t xml:space="preserve">El Sector Width xxx.x </t>
  </si>
  <si>
    <t xml:space="preserve">El Slew Rate x.xxxxx </t>
  </si>
  <si>
    <t xml:space="preserve">1st Lobe Pos xxx.x </t>
  </si>
  <si>
    <t xml:space="preserve">2nd Lobe Pos xxx.x </t>
  </si>
  <si>
    <t xml:space="preserve">AI Speed xxxxx.x </t>
  </si>
  <si>
    <t xml:space="preserve">AI x </t>
  </si>
  <si>
    <t xml:space="preserve">Sq or Hex? x </t>
  </si>
  <si>
    <t xml:space="preserve">Scan Type x </t>
  </si>
  <si>
    <t xml:space="preserve">Locate? x </t>
  </si>
  <si>
    <t xml:space="preserve">MF x </t>
  </si>
  <si>
    <t xml:space="preserve">RF Agile x </t>
  </si>
  <si>
    <t>Freq Range 10Mhz</t>
  </si>
  <si>
    <t xml:space="preserve">Freq range 10MHz </t>
  </si>
  <si>
    <t xml:space="preserve">Freq range 20MHz </t>
  </si>
  <si>
    <t xml:space="preserve">Freq range10MHz </t>
  </si>
  <si>
    <t>3 Freq (850 875 900) pulse to pulse agile</t>
  </si>
  <si>
    <t>2 Posn Stagger  (350 475)</t>
  </si>
  <si>
    <t xml:space="preserve"> </t>
  </si>
  <si>
    <t xml:space="preserve">500 msec ON 50 msec off </t>
  </si>
  <si>
    <t>200?</t>
  </si>
  <si>
    <t xml:space="preserve">Freq range 15MHz </t>
  </si>
  <si>
    <t>100?</t>
  </si>
  <si>
    <t>50?</t>
  </si>
  <si>
    <t>22?</t>
  </si>
  <si>
    <t>Both ack track Beams on at the same time. All three modes from same Weapon system. ESM to correlate these 3 to a single  emitter. VERIFY SCAN DATA TO MATCH SCAN TYPE =5</t>
  </si>
  <si>
    <t xml:space="preserve">AIRBORNE_TRACK_GUIDANCE </t>
  </si>
  <si>
    <t>Conical Scan. Fill in Numbers that make sense.</t>
  </si>
  <si>
    <t>Need good parameters for conical scan.</t>
  </si>
  <si>
    <t>Freq Range (MHz)</t>
  </si>
  <si>
    <r>
      <t xml:space="preserve">Scan_Period </t>
    </r>
    <r>
      <rPr>
        <b/>
        <sz val="10"/>
        <color indexed="10"/>
        <rFont val="Arial"/>
        <family val="2"/>
      </rPr>
      <t>Min</t>
    </r>
    <r>
      <rPr>
        <b/>
        <sz val="10"/>
        <rFont val="Arial"/>
        <family val="2"/>
      </rPr>
      <t xml:space="preserve"> (sec)</t>
    </r>
  </si>
  <si>
    <r>
      <t xml:space="preserve">Scan_Period </t>
    </r>
    <r>
      <rPr>
        <b/>
        <sz val="10"/>
        <color indexed="10"/>
        <rFont val="Arial"/>
        <family val="2"/>
      </rPr>
      <t>Max</t>
    </r>
    <r>
      <rPr>
        <b/>
        <sz val="10"/>
        <rFont val="Arial"/>
        <family val="2"/>
      </rPr>
      <t xml:space="preserve"> (sec)</t>
    </r>
  </si>
  <si>
    <r>
      <t xml:space="preserve">Centre PRI 2500, jitter </t>
    </r>
    <r>
      <rPr>
        <sz val="10"/>
        <color indexed="10"/>
        <rFont val="Arial"/>
        <family val="2"/>
      </rPr>
      <t>10</t>
    </r>
    <r>
      <rPr>
        <sz val="10"/>
        <rFont val="Arial"/>
        <family val="2"/>
      </rPr>
      <t xml:space="preserve"> usec around centre</t>
    </r>
  </si>
  <si>
    <t>HTW (y/n)</t>
  </si>
  <si>
    <t>y</t>
  </si>
  <si>
    <t>n</t>
  </si>
  <si>
    <r>
      <t xml:space="preserve">2 posn Stagger (640 </t>
    </r>
    <r>
      <rPr>
        <sz val="10"/>
        <color indexed="10"/>
        <rFont val="Arial"/>
        <family val="2"/>
      </rPr>
      <t>670</t>
    </r>
    <r>
      <rPr>
        <sz val="10"/>
        <rFont val="Arial"/>
        <family val="2"/>
      </rPr>
      <t>)</t>
    </r>
  </si>
  <si>
    <t>unusual duty cycle</t>
  </si>
  <si>
    <r>
      <t xml:space="preserve">Freq Range </t>
    </r>
    <r>
      <rPr>
        <sz val="10"/>
        <color indexed="10"/>
        <rFont val="Arial"/>
        <family val="2"/>
      </rPr>
      <t>20</t>
    </r>
    <r>
      <rPr>
        <sz val="10"/>
        <rFont val="Arial"/>
        <family val="2"/>
      </rPr>
      <t xml:space="preserve">Mhz, duration </t>
    </r>
    <r>
      <rPr>
        <sz val="10"/>
        <color indexed="10"/>
        <rFont val="Arial"/>
        <family val="2"/>
      </rPr>
      <t>20</t>
    </r>
    <r>
      <rPr>
        <sz val="10"/>
        <rFont val="Arial"/>
        <family val="2"/>
      </rPr>
      <t xml:space="preserve"> msec </t>
    </r>
  </si>
  <si>
    <r>
      <t xml:space="preserve">2 position stagger (580 600) </t>
    </r>
    <r>
      <rPr>
        <sz val="10"/>
        <color indexed="10"/>
        <rFont val="Arial"/>
        <family val="2"/>
      </rPr>
      <t>Sync wit F1</t>
    </r>
  </si>
  <si>
    <r>
      <t xml:space="preserve">Freq range 20MHz period </t>
    </r>
    <r>
      <rPr>
        <sz val="10"/>
        <color indexed="10"/>
        <rFont val="Arial"/>
        <family val="2"/>
      </rPr>
      <t>16</t>
    </r>
    <r>
      <rPr>
        <sz val="10"/>
        <rFont val="Arial"/>
        <family val="2"/>
      </rPr>
      <t xml:space="preserve"> msec</t>
    </r>
  </si>
  <si>
    <t xml:space="preserve">Track antenna is separate from search_acq antenna.
</t>
  </si>
  <si>
    <r>
      <t xml:space="preserve">Stable PRI with </t>
    </r>
    <r>
      <rPr>
        <sz val="10"/>
        <color indexed="10"/>
        <rFont val="Arial"/>
        <family val="2"/>
      </rPr>
      <t>Doublets</t>
    </r>
    <r>
      <rPr>
        <sz val="10"/>
        <rFont val="Arial"/>
        <family val="2"/>
      </rPr>
      <t xml:space="preserve"> inserted between pulses.
</t>
    </r>
    <r>
      <rPr>
        <sz val="10"/>
        <color indexed="10"/>
        <rFont val="Arial"/>
        <family val="2"/>
      </rPr>
      <t>Az Cmd 3usec doublet, El Cmd 5usec doublet, in mid 80% of alternating PRI.</t>
    </r>
    <r>
      <rPr>
        <sz val="10"/>
        <rFont val="Arial"/>
        <family val="2"/>
      </rPr>
      <t xml:space="preserve">
</t>
    </r>
  </si>
  <si>
    <r>
      <t xml:space="preserve">Stable PRI with </t>
    </r>
    <r>
      <rPr>
        <sz val="10"/>
        <color indexed="10"/>
        <rFont val="Arial"/>
        <family val="2"/>
      </rPr>
      <t>Triplets</t>
    </r>
    <r>
      <rPr>
        <sz val="10"/>
        <rFont val="Arial"/>
        <family val="2"/>
      </rPr>
      <t xml:space="preserve"> inserted between pulses.
</t>
    </r>
    <r>
      <rPr>
        <sz val="10"/>
        <color indexed="10"/>
        <rFont val="Arial"/>
        <family val="2"/>
      </rPr>
      <t>Az Cmd 3/3usec triplet, El Cmd 3/5usec triplet, in mid 80% of PRI.  Both triplets in every PRI.  Triplet PW 1usec.</t>
    </r>
  </si>
  <si>
    <t>Search mode,T/G mode and  MG mode can be present at the same time. ESM to correlate to a single emitter.</t>
  </si>
  <si>
    <r>
      <t>Stable PRI with</t>
    </r>
    <r>
      <rPr>
        <sz val="10"/>
        <color indexed="10"/>
        <rFont val="Arial"/>
        <family val="2"/>
      </rPr>
      <t xml:space="preserve"> Doublets</t>
    </r>
    <r>
      <rPr>
        <sz val="10"/>
        <rFont val="Arial"/>
        <family val="2"/>
      </rPr>
      <t xml:space="preserve"> inserted between pulses.
10usec doublet each PRI</t>
    </r>
  </si>
  <si>
    <r>
      <t xml:space="preserve">Stable PRI with </t>
    </r>
    <r>
      <rPr>
        <sz val="10"/>
        <color indexed="10"/>
        <rFont val="Arial"/>
        <family val="2"/>
      </rPr>
      <t>Triplets</t>
    </r>
    <r>
      <rPr>
        <sz val="10"/>
        <rFont val="Arial"/>
        <family val="2"/>
      </rPr>
      <t xml:space="preserve"> inserted between pulses.
10/15usec triplet each PRI.</t>
    </r>
  </si>
  <si>
    <t>Needs TT on at same time.</t>
  </si>
  <si>
    <t>Center Beam</t>
  </si>
  <si>
    <t>High Beam</t>
  </si>
  <si>
    <t>Low Beam</t>
  </si>
  <si>
    <r>
      <t xml:space="preserve">Long PRI goes with long PW
</t>
    </r>
    <r>
      <rPr>
        <sz val="10"/>
        <color indexed="10"/>
        <rFont val="Arial"/>
        <family val="2"/>
      </rPr>
      <t>Low Beam</t>
    </r>
  </si>
  <si>
    <t>ACQUISITION_TRACK</t>
  </si>
  <si>
    <r>
      <t>20</t>
    </r>
    <r>
      <rPr>
        <sz val="10"/>
        <rFont val="Arial"/>
        <family val="2"/>
      </rPr>
      <t xml:space="preserve">Mhz range duration </t>
    </r>
    <r>
      <rPr>
        <sz val="10"/>
        <color indexed="10"/>
        <rFont val="Arial"/>
        <family val="2"/>
      </rPr>
      <t>90</t>
    </r>
    <r>
      <rPr>
        <sz val="10"/>
        <rFont val="Arial"/>
        <family val="2"/>
      </rPr>
      <t>msec</t>
    </r>
  </si>
  <si>
    <t>milli-meter wave beyond CEESIM band coverage, must use signal generator for emitter simulation</t>
  </si>
  <si>
    <r>
      <t xml:space="preserve">Simple </t>
    </r>
    <r>
      <rPr>
        <sz val="10"/>
        <color indexed="10"/>
        <rFont val="Arial"/>
        <family val="2"/>
      </rPr>
      <t>FRIENDLY</t>
    </r>
    <r>
      <rPr>
        <sz val="10"/>
        <rFont val="Arial"/>
        <family val="2"/>
      </rPr>
      <t xml:space="preserve"> HF Emitter </t>
    </r>
  </si>
  <si>
    <t>5 posn stagger (1800 2140 1967 1666 1845)</t>
  </si>
  <si>
    <r>
      <t>6</t>
    </r>
    <r>
      <rPr>
        <sz val="10"/>
        <rFont val="Arial"/>
        <family val="2"/>
      </rPr>
      <t xml:space="preserve"> posn stagger (2400 1800 2140 1967 1666 1845)</t>
    </r>
  </si>
  <si>
    <r>
      <t>4 Posn Stagger (</t>
    </r>
    <r>
      <rPr>
        <sz val="10"/>
        <color indexed="10"/>
        <rFont val="Arial"/>
        <family val="2"/>
      </rPr>
      <t>70</t>
    </r>
    <r>
      <rPr>
        <sz val="10"/>
        <rFont val="Arial"/>
        <family val="2"/>
      </rPr>
      <t xml:space="preserve"> 80 90 100)</t>
    </r>
  </si>
  <si>
    <r>
      <t xml:space="preserve">2 Posn Stagger  (70 </t>
    </r>
    <r>
      <rPr>
        <sz val="10"/>
        <color indexed="10"/>
        <rFont val="Arial"/>
        <family val="2"/>
      </rPr>
      <t>98</t>
    </r>
    <r>
      <rPr>
        <sz val="10"/>
        <rFont val="Arial"/>
        <family val="2"/>
      </rPr>
      <t>)</t>
    </r>
  </si>
  <si>
    <r>
      <t xml:space="preserve">5 PRI (650 500 621 533 598)
</t>
    </r>
    <r>
      <rPr>
        <sz val="10"/>
        <color indexed="10"/>
        <rFont val="Arial"/>
        <family val="2"/>
      </rPr>
      <t>(random pulse to pulse agility at these discrete levels)</t>
    </r>
  </si>
  <si>
    <r>
      <t xml:space="preserve">Emitter Type
(Land, Sea, Air) </t>
    </r>
    <r>
      <rPr>
        <sz val="10"/>
        <color indexed="10"/>
        <rFont val="Arial"/>
        <family val="2"/>
      </rPr>
      <t>(Random Assortment, see comment)</t>
    </r>
  </si>
  <si>
    <t>Airborne</t>
  </si>
  <si>
    <t>Land</t>
  </si>
  <si>
    <t>Sea</t>
  </si>
  <si>
    <r>
      <t xml:space="preserve">2 Posn Stagger (300 340)
</t>
    </r>
    <r>
      <rPr>
        <sz val="10"/>
        <color indexed="10"/>
        <rFont val="Arial"/>
        <family val="2"/>
      </rPr>
      <t>(add PRI Clock = 2us)</t>
    </r>
  </si>
  <si>
    <r>
      <t xml:space="preserve">2 Posn Stagger (200 250)
</t>
    </r>
    <r>
      <rPr>
        <sz val="10"/>
        <color indexed="10"/>
        <rFont val="Arial"/>
        <family val="2"/>
      </rPr>
      <t>(add PRI Clock = 2us)</t>
    </r>
  </si>
  <si>
    <r>
      <t xml:space="preserve">2 Posn Stagger (1200 1250)
</t>
    </r>
    <r>
      <rPr>
        <sz val="10"/>
        <color indexed="10"/>
        <rFont val="Arial"/>
        <family val="2"/>
      </rPr>
      <t>(add PRI Clock = 5us)</t>
    </r>
  </si>
  <si>
    <r>
      <t xml:space="preserve">2 Posn Stagger (600 625)
</t>
    </r>
    <r>
      <rPr>
        <sz val="10"/>
        <color indexed="10"/>
        <rFont val="Arial"/>
        <family val="2"/>
      </rPr>
      <t>(add PRI Clock = 5us)</t>
    </r>
  </si>
  <si>
    <r>
      <t xml:space="preserve">2 Posn Stagger (400 415)
</t>
    </r>
    <r>
      <rPr>
        <sz val="10"/>
        <color indexed="10"/>
        <rFont val="Arial"/>
        <family val="2"/>
      </rPr>
      <t>(add PRI Clock = 5us)</t>
    </r>
  </si>
  <si>
    <r>
      <t>HOSTILE</t>
    </r>
    <r>
      <rPr>
        <sz val="10"/>
        <rFont val="Arial"/>
        <family val="2"/>
      </rPr>
      <t xml:space="preserve"> Airborne TA/TT</t>
    </r>
  </si>
  <si>
    <r>
      <t>HOSTILE</t>
    </r>
    <r>
      <rPr>
        <sz val="10"/>
        <rFont val="Arial"/>
        <family val="2"/>
      </rPr>
      <t xml:space="preserve"> Airborne TA/TT/MG TA Displayed</t>
    </r>
  </si>
  <si>
    <r>
      <t>HOSTILE</t>
    </r>
    <r>
      <rPr>
        <sz val="10"/>
        <rFont val="Arial"/>
        <family val="2"/>
      </rPr>
      <t xml:space="preserve"> Airborne TA/TT/MG TT Displayed</t>
    </r>
  </si>
  <si>
    <r>
      <t xml:space="preserve">HOSTILE </t>
    </r>
    <r>
      <rPr>
        <sz val="10"/>
        <rFont val="Arial"/>
        <family val="2"/>
      </rPr>
      <t>Airborne TA/TT/MG MG Displayed</t>
    </r>
  </si>
  <si>
    <r>
      <t xml:space="preserve">3 posn stagger (3000 </t>
    </r>
    <r>
      <rPr>
        <sz val="10"/>
        <color indexed="10"/>
        <rFont val="Arial"/>
        <family val="2"/>
      </rPr>
      <t>2020</t>
    </r>
    <r>
      <rPr>
        <sz val="10"/>
        <rFont val="Arial"/>
        <family val="2"/>
      </rPr>
      <t xml:space="preserve"> 2140)</t>
    </r>
  </si>
  <si>
    <r>
      <t>2 Posn Stagger  (</t>
    </r>
    <r>
      <rPr>
        <sz val="10"/>
        <color indexed="10"/>
        <rFont val="Arial"/>
        <family val="2"/>
      </rPr>
      <t>2030</t>
    </r>
    <r>
      <rPr>
        <sz val="10"/>
        <rFont val="Arial"/>
        <family val="2"/>
      </rPr>
      <t xml:space="preserve"> 3000)</t>
    </r>
  </si>
  <si>
    <r>
      <t xml:space="preserve">10
</t>
    </r>
    <r>
      <rPr>
        <sz val="10"/>
        <color indexed="10"/>
        <rFont val="Arial"/>
        <family val="2"/>
      </rPr>
      <t>.5</t>
    </r>
  </si>
  <si>
    <t>2 Posn Stagger (2000 1475)</t>
  </si>
  <si>
    <t>3 Posn Stagger  (2275 1980 2144)</t>
  </si>
  <si>
    <t>MDF Variable</t>
  </si>
  <si>
    <t>Description</t>
  </si>
  <si>
    <t>The number (sequential) of the emitter in the MDF.</t>
  </si>
  <si>
    <t>The NATO name for the emitter.  For the Unclassified Libraries the Emitter name is represented by Emitter_Index, where Index is the value listed in th first column.</t>
  </si>
  <si>
    <t>Emitter Identification.  The unique emitter ID of the MDF entry.  In the unclassified libraries this is simply a unique number.  For the classfied libraries a List of EIDs will be determined by CFAWC EWOS.</t>
  </si>
  <si>
    <t>A list of EIDs that are ambiguous with the emitter.  If the row is blank, there is no ambiguity.</t>
  </si>
  <si>
    <t>The emitter will contain 1 or more modes.  This value indicates the mode of the specific entry.</t>
  </si>
  <si>
    <t>Electronic Intelligence Notation.  This is a unique identifier assigned to each emitter.  For the unclassifed libraries, these values are made up. For classified libraries the ELNOT would be determined from the Electronic Warfare Integrated Reprogramming (EWIR) database.</t>
  </si>
  <si>
    <t>Indicates the function of the specific emitter mode.  The range of values is described in table 3-3.</t>
  </si>
  <si>
    <t>Minimum Frequency value (MHz)</t>
  </si>
  <si>
    <t>Maxiimum Frequency value (MHz)</t>
  </si>
  <si>
    <t>Frequency Modulation. Modulation types are listed in table 3-4.</t>
  </si>
  <si>
    <t>Frequency Modulation Parameters. Describes the range of Frequency Modulation.</t>
  </si>
  <si>
    <t>Minimum Pulse Repetition Interval (usec)</t>
  </si>
  <si>
    <t>Maximum Pulse Repetition Interval (usec)</t>
  </si>
  <si>
    <t>PRI Modulation Parameters.  Describes the specific values of the PRI Modulation</t>
  </si>
  <si>
    <t>Minimum Pulse Width (usec)</t>
  </si>
  <si>
    <t>Maximum Pulse Width (usec)</t>
  </si>
  <si>
    <t>Minimum Scan Period (sec)</t>
  </si>
  <si>
    <t>Maximum Scan Period (sec)</t>
  </si>
  <si>
    <t>Emitter Radiated Power (dBm)</t>
  </si>
  <si>
    <t>Antenna Gain</t>
  </si>
  <si>
    <t>Antenna Polarization.  Polarization values are listed in table 3-7.</t>
  </si>
  <si>
    <t>Airborne Interceptor (0=no, 1= yes)</t>
  </si>
  <si>
    <t>Antenna Pattern (</t>
  </si>
  <si>
    <t xml:space="preserve">Scan Type.  The Scan Type values are listed in table 3-8. </t>
  </si>
  <si>
    <t>Scan Pattern. Scan Pattern values are listed in table 3-6.</t>
  </si>
  <si>
    <t>PRI Modulation Type values are listed in table 3-5.</t>
  </si>
  <si>
    <t>Describes the Hostility and the function of the specific emitter entry.  The Hostility valus are given in Table 3-2, and the function values given in table 3-3.</t>
  </si>
  <si>
    <t>Location Candidate (0=no, 1=yes)</t>
  </si>
  <si>
    <t>MultiBeam Emitter (0=no, 1=yes)</t>
  </si>
  <si>
    <t>Radio Frequency Agility (0=no, 1=yes)</t>
  </si>
  <si>
    <t>Probablility of Detection</t>
  </si>
  <si>
    <t>Range of Weapon associated with the Emitter (miles)</t>
  </si>
  <si>
    <t>Indication of whether emitter is reported to the SDS (ESM/RWR) or only to the ESM (ESM)</t>
  </si>
  <si>
    <t>Emitter Type values are (Land, Sea, Aiir)</t>
  </si>
  <si>
    <t xml:space="preserve">Emitter Type
(Land, Sea, Air) </t>
  </si>
  <si>
    <t>Threat Display</t>
  </si>
  <si>
    <t>Threat Priority</t>
  </si>
  <si>
    <t>Threat Tone</t>
  </si>
  <si>
    <t>The Symbol used to represent the emitter on the SDS Display</t>
  </si>
  <si>
    <t>The overall priority of the Emitter</t>
  </si>
  <si>
    <t>The tone generated when the Threat is detected.</t>
  </si>
  <si>
    <t>DeltaFreq</t>
  </si>
  <si>
    <t>OOK</t>
  </si>
  <si>
    <t>AGO;E</t>
  </si>
  <si>
    <t>MAU</t>
  </si>
  <si>
    <t>EEB</t>
  </si>
  <si>
    <t>EAB</t>
  </si>
  <si>
    <t xml:space="preserve"> EAB</t>
  </si>
  <si>
    <t xml:space="preserve">CONICAL  </t>
  </si>
  <si>
    <t>MAB</t>
  </si>
  <si>
    <t>TRACK WHILE SCAL</t>
  </si>
  <si>
    <t xml:space="preserve">RANDOM
</t>
  </si>
  <si>
    <r>
      <t>EAB</t>
    </r>
    <r>
      <rPr>
        <sz val="10"/>
        <rFont val="Arial"/>
        <family val="2"/>
      </rPr>
      <t xml:space="preserve">
</t>
    </r>
  </si>
  <si>
    <t>EAU</t>
  </si>
  <si>
    <t>MEB</t>
  </si>
  <si>
    <t>meb</t>
  </si>
  <si>
    <t>EEU</t>
  </si>
  <si>
    <t>FMOP</t>
  </si>
  <si>
    <t>EMITTER_NAME</t>
  </si>
  <si>
    <t>EMITTER_ID</t>
  </si>
  <si>
    <t>SEGMENT_FUNCTION</t>
  </si>
  <si>
    <t>FREQ_LOW</t>
  </si>
  <si>
    <t>FREQ_HIGH</t>
  </si>
  <si>
    <t>FREQ_MOD</t>
  </si>
  <si>
    <t>PRI_LOW</t>
  </si>
  <si>
    <t>PRI_HIGH</t>
  </si>
  <si>
    <t>PW_LOW</t>
  </si>
  <si>
    <t>PW_HIGH</t>
  </si>
  <si>
    <t>SCAN_MODULATION_TYPE</t>
  </si>
  <si>
    <t>AZ_SCAN_PERIOD_MIN</t>
  </si>
  <si>
    <t>AZ_SCAN_PERIOD_MAX</t>
  </si>
  <si>
    <t>AEX</t>
  </si>
  <si>
    <t>PRI_MOD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</si>
</sst>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sz val="10"/>
      <name val="Arial"/>
      <family val="2"/>
    </font>
    <font>
      <b/>
      <sz val="10"/>
      <name val="Arial"/>
      <family val="2"/>
    </font>
    <font>
      <sz val="10"/>
      <color indexed="10"/>
      <name val="Arial"/>
      <family val="2"/>
    </font>
    <font>
      <sz val="10"/>
      <color indexed="12"/>
      <name val="Arial"/>
      <family val="2"/>
    </font>
    <font>
      <sz val="10"/>
      <name val="Arial"/>
      <family val="2"/>
    </font>
    <font>
      <sz val="10"/>
      <color indexed="8"/>
      <name val="Arial"/>
      <family val="2"/>
    </font>
    <font>
      <sz val="8"/>
      <color indexed="81"/>
      <name val="Tahoma"/>
      <family val="2"/>
    </font>
    <font>
      <sz val="8"/>
      <name val="Arial"/>
      <family val="2"/>
    </font>
    <font>
      <b/>
      <sz val="8"/>
      <color indexed="81"/>
      <name val="Tahoma"/>
      <family val="2"/>
    </font>
    <font>
      <b/>
      <sz val="10"/>
      <color indexed="10"/>
      <name val="Arial"/>
      <family val="2"/>
    </font>
    <font>
      <sz val="10"/>
      <color indexed="10"/>
      <name val="Arial"/>
      <family val="2"/>
    </font>
  </fonts>
  <fills count="11">
    <fill>
      <patternFill patternType="none"/>
    </fill>
    <fill>
      <patternFill patternType="gray125"/>
    </fill>
    <fill>
      <patternFill patternType="solid">
        <fgColor indexed="63"/>
        <bgColor indexed="64"/>
      </patternFill>
    </fill>
    <fill>
      <patternFill patternType="solid">
        <fgColor indexed="22"/>
        <bgColor indexed="64"/>
      </patternFill>
    </fill>
    <fill>
      <patternFill patternType="lightTrellis"/>
    </fill>
    <fill>
      <patternFill patternType="lightTrellis">
        <bgColor indexed="22"/>
      </patternFill>
    </fill>
    <fill>
      <patternFill patternType="solid">
        <fgColor indexed="41"/>
        <bgColor indexed="64"/>
      </patternFill>
    </fill>
    <fill>
      <patternFill patternType="solid">
        <fgColor indexed="55"/>
        <bgColor indexed="64"/>
      </patternFill>
    </fill>
    <fill>
      <patternFill patternType="solid">
        <fgColor indexed="50"/>
        <bgColor indexed="64"/>
      </patternFill>
    </fill>
    <fill>
      <patternFill patternType="solid">
        <fgColor theme="0" tint="-0.34998626667073579"/>
        <bgColor indexed="64"/>
      </patternFill>
    </fill>
    <fill>
      <patternFill patternType="lightTrellis">
        <bgColor theme="0" tint="-0.34998626667073579"/>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3">
    <xf numFmtId="0" fontId="0" fillId="0" borderId="0" xfId="0"/>
    <xf numFmtId="0" fontId="2" fillId="0" borderId="0" xfId="0" applyFont="1"/>
    <xf numFmtId="0" fontId="4" fillId="0" borderId="0" xfId="0" applyFont="1"/>
    <xf numFmtId="0" fontId="2" fillId="2" borderId="0" xfId="0" applyFont="1" applyFill="1"/>
    <xf numFmtId="0" fontId="0" fillId="2" borderId="0" xfId="0" applyFill="1"/>
    <xf numFmtId="0" fontId="2" fillId="3" borderId="1" xfId="0" applyFont="1" applyFill="1" applyBorder="1" applyAlignment="1">
      <alignment vertical="top" wrapText="1"/>
    </xf>
    <xf numFmtId="0" fontId="2" fillId="3" borderId="1" xfId="0" applyFont="1" applyFill="1" applyBorder="1" applyAlignment="1">
      <alignment vertical="top"/>
    </xf>
    <xf numFmtId="0" fontId="0" fillId="4" borderId="1" xfId="0" applyFill="1" applyBorder="1" applyAlignment="1">
      <alignment vertical="top"/>
    </xf>
    <xf numFmtId="0" fontId="0" fillId="0" borderId="0" xfId="0" applyAlignment="1">
      <alignment vertical="top"/>
    </xf>
    <xf numFmtId="0" fontId="2" fillId="3" borderId="1" xfId="0" applyFont="1" applyFill="1" applyBorder="1" applyAlignment="1">
      <alignment horizontal="center" vertical="top" wrapText="1"/>
    </xf>
    <xf numFmtId="0" fontId="5" fillId="0" borderId="1" xfId="0" applyFont="1" applyBorder="1" applyAlignment="1">
      <alignment horizontal="center" vertical="top"/>
    </xf>
    <xf numFmtId="0" fontId="0" fillId="0" borderId="1" xfId="0" applyBorder="1" applyAlignment="1">
      <alignment horizontal="center" vertical="top"/>
    </xf>
    <xf numFmtId="0" fontId="5" fillId="0" borderId="1" xfId="0" applyFont="1" applyFill="1" applyBorder="1" applyAlignment="1">
      <alignment horizontal="center" vertical="top" wrapText="1"/>
    </xf>
    <xf numFmtId="0" fontId="5" fillId="0" borderId="1" xfId="0" applyFont="1" applyFill="1" applyBorder="1" applyAlignment="1">
      <alignment vertical="top"/>
    </xf>
    <xf numFmtId="0" fontId="5" fillId="0" borderId="1" xfId="0" applyFont="1" applyFill="1" applyBorder="1" applyAlignment="1">
      <alignment horizontal="center" vertical="top"/>
    </xf>
    <xf numFmtId="0" fontId="5" fillId="0" borderId="1" xfId="0" applyFont="1" applyFill="1" applyBorder="1" applyAlignment="1">
      <alignment vertical="top" wrapText="1"/>
    </xf>
    <xf numFmtId="0" fontId="5" fillId="0" borderId="0" xfId="0" applyFont="1" applyAlignment="1">
      <alignment vertical="top" wrapText="1"/>
    </xf>
    <xf numFmtId="0" fontId="5" fillId="3" borderId="1" xfId="0" applyFont="1" applyFill="1" applyBorder="1" applyAlignment="1">
      <alignment horizontal="center" vertical="top"/>
    </xf>
    <xf numFmtId="0" fontId="5" fillId="3" borderId="1" xfId="0" applyFont="1" applyFill="1" applyBorder="1" applyAlignment="1">
      <alignment vertical="top"/>
    </xf>
    <xf numFmtId="0" fontId="0" fillId="5" borderId="1" xfId="0" applyFill="1" applyBorder="1" applyAlignment="1">
      <alignment vertical="top"/>
    </xf>
    <xf numFmtId="0" fontId="0" fillId="0" borderId="0" xfId="0" applyFill="1" applyAlignment="1">
      <alignment vertical="top"/>
    </xf>
    <xf numFmtId="0" fontId="0" fillId="0" borderId="1" xfId="0" applyBorder="1" applyAlignment="1">
      <alignment vertical="top"/>
    </xf>
    <xf numFmtId="0" fontId="5" fillId="0" borderId="1" xfId="0" applyFont="1" applyBorder="1" applyAlignment="1">
      <alignment vertical="top" wrapText="1"/>
    </xf>
    <xf numFmtId="0" fontId="0" fillId="0" borderId="1" xfId="0" applyFill="1" applyBorder="1" applyAlignment="1">
      <alignment vertical="top"/>
    </xf>
    <xf numFmtId="0" fontId="5" fillId="0" borderId="0" xfId="0" applyFont="1" applyFill="1" applyAlignment="1">
      <alignment vertical="top"/>
    </xf>
    <xf numFmtId="0" fontId="6" fillId="0" borderId="0" xfId="0" applyFont="1" applyFill="1" applyAlignment="1">
      <alignment vertical="top"/>
    </xf>
    <xf numFmtId="0" fontId="0" fillId="0" borderId="1" xfId="0" applyBorder="1" applyAlignment="1">
      <alignment vertical="top" wrapText="1"/>
    </xf>
    <xf numFmtId="0" fontId="5" fillId="0" borderId="0" xfId="0" applyFont="1" applyAlignment="1">
      <alignment vertical="top"/>
    </xf>
    <xf numFmtId="0" fontId="3" fillId="0" borderId="0" xfId="0" applyFont="1" applyAlignment="1">
      <alignment vertical="top"/>
    </xf>
    <xf numFmtId="0" fontId="0" fillId="0" borderId="1" xfId="0" applyFill="1" applyBorder="1" applyAlignment="1">
      <alignment horizontal="center" vertical="top"/>
    </xf>
    <xf numFmtId="0" fontId="3" fillId="0" borderId="0" xfId="0" applyFont="1" applyFill="1" applyAlignment="1">
      <alignment vertical="top"/>
    </xf>
    <xf numFmtId="0" fontId="0" fillId="0" borderId="0" xfId="0" applyAlignment="1">
      <alignment horizontal="center" vertical="top"/>
    </xf>
    <xf numFmtId="0" fontId="0" fillId="0" borderId="0" xfId="0" applyAlignment="1">
      <alignment vertical="top" wrapText="1"/>
    </xf>
    <xf numFmtId="0" fontId="5" fillId="0" borderId="0" xfId="0" applyFont="1" applyAlignment="1">
      <alignment horizontal="center" vertical="top"/>
    </xf>
    <xf numFmtId="0" fontId="4" fillId="0" borderId="0" xfId="0" applyFont="1" applyAlignment="1">
      <alignment vertical="top"/>
    </xf>
    <xf numFmtId="0" fontId="2" fillId="0" borderId="1" xfId="0" applyFont="1" applyBorder="1" applyAlignment="1">
      <alignment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5" fillId="0" borderId="0" xfId="0" applyFont="1" applyBorder="1" applyAlignment="1">
      <alignment horizontal="center" vertical="top" wrapText="1"/>
    </xf>
    <xf numFmtId="0" fontId="3" fillId="0" borderId="1" xfId="0" applyFont="1" applyFill="1" applyBorder="1" applyAlignment="1">
      <alignment vertical="top" wrapText="1"/>
    </xf>
    <xf numFmtId="0" fontId="1" fillId="0" borderId="1" xfId="0" applyFont="1" applyBorder="1" applyAlignment="1">
      <alignment vertical="top"/>
    </xf>
    <xf numFmtId="0" fontId="2" fillId="0" borderId="2" xfId="0" applyFont="1" applyBorder="1" applyAlignment="1">
      <alignment horizontal="center" vertical="top" wrapText="1"/>
    </xf>
    <xf numFmtId="0" fontId="5" fillId="0" borderId="2" xfId="0" applyFont="1" applyBorder="1" applyAlignment="1">
      <alignment horizontal="center" vertical="top" wrapText="1"/>
    </xf>
    <xf numFmtId="0" fontId="5" fillId="0" borderId="2" xfId="0" applyFont="1" applyFill="1" applyBorder="1" applyAlignment="1">
      <alignment horizontal="center" vertical="top" wrapText="1"/>
    </xf>
    <xf numFmtId="0" fontId="5" fillId="8" borderId="1" xfId="0" applyFont="1" applyFill="1" applyBorder="1" applyAlignment="1">
      <alignment vertical="top" wrapText="1"/>
    </xf>
    <xf numFmtId="0" fontId="11" fillId="8" borderId="1" xfId="0" applyFont="1" applyFill="1" applyBorder="1" applyAlignment="1">
      <alignment vertical="top"/>
    </xf>
    <xf numFmtId="0" fontId="0" fillId="8" borderId="1" xfId="0" applyFill="1" applyBorder="1" applyAlignment="1">
      <alignment vertical="top" wrapText="1"/>
    </xf>
    <xf numFmtId="0" fontId="11" fillId="0" borderId="1" xfId="0" applyFont="1" applyFill="1" applyBorder="1" applyAlignment="1">
      <alignment vertical="top"/>
    </xf>
    <xf numFmtId="0" fontId="2" fillId="8" borderId="1" xfId="0" applyFont="1" applyFill="1" applyBorder="1" applyAlignment="1">
      <alignment vertical="top" wrapText="1"/>
    </xf>
    <xf numFmtId="0" fontId="1" fillId="0" borderId="1" xfId="0" applyFont="1" applyFill="1" applyBorder="1" applyAlignment="1">
      <alignment vertical="top"/>
    </xf>
    <xf numFmtId="0" fontId="0" fillId="0" borderId="1" xfId="0" applyFill="1" applyBorder="1" applyAlignment="1">
      <alignment vertical="top" wrapText="1"/>
    </xf>
    <xf numFmtId="0" fontId="1" fillId="0" borderId="1" xfId="0" applyFont="1" applyFill="1" applyBorder="1" applyAlignment="1">
      <alignment vertical="top" wrapText="1"/>
    </xf>
    <xf numFmtId="0" fontId="5" fillId="9" borderId="1" xfId="0" applyFont="1" applyFill="1" applyBorder="1" applyAlignment="1">
      <alignment horizontal="center" vertical="top"/>
    </xf>
    <xf numFmtId="0" fontId="0" fillId="9" borderId="1" xfId="0" applyFill="1" applyBorder="1" applyAlignment="1">
      <alignment horizontal="center" vertical="top"/>
    </xf>
    <xf numFmtId="0" fontId="5" fillId="9" borderId="1" xfId="0" applyFont="1" applyFill="1" applyBorder="1" applyAlignment="1">
      <alignment horizontal="center" vertical="top" wrapText="1"/>
    </xf>
    <xf numFmtId="0" fontId="5" fillId="9" borderId="1" xfId="0" applyFont="1" applyFill="1" applyBorder="1" applyAlignment="1">
      <alignment vertical="top"/>
    </xf>
    <xf numFmtId="0" fontId="5" fillId="9" borderId="1" xfId="0" applyFont="1" applyFill="1" applyBorder="1" applyAlignment="1">
      <alignment vertical="top" wrapText="1"/>
    </xf>
    <xf numFmtId="0" fontId="0" fillId="9" borderId="1" xfId="0" applyFill="1" applyBorder="1" applyAlignment="1">
      <alignment vertical="top"/>
    </xf>
    <xf numFmtId="0" fontId="11" fillId="9" borderId="1" xfId="0" applyFont="1" applyFill="1" applyBorder="1" applyAlignment="1">
      <alignment vertical="top"/>
    </xf>
    <xf numFmtId="0" fontId="1" fillId="9" borderId="1" xfId="0" applyFont="1" applyFill="1" applyBorder="1" applyAlignment="1">
      <alignment vertical="top"/>
    </xf>
    <xf numFmtId="0" fontId="5" fillId="9" borderId="2" xfId="0" applyFont="1" applyFill="1" applyBorder="1" applyAlignment="1">
      <alignment horizontal="center" vertical="top" wrapText="1"/>
    </xf>
    <xf numFmtId="0" fontId="0" fillId="9" borderId="1" xfId="0" applyFill="1" applyBorder="1" applyAlignment="1">
      <alignment vertical="top" wrapText="1"/>
    </xf>
    <xf numFmtId="0" fontId="1" fillId="9" borderId="1" xfId="0" applyFont="1" applyFill="1" applyBorder="1" applyAlignment="1">
      <alignment vertical="top" wrapText="1"/>
    </xf>
    <xf numFmtId="0" fontId="0" fillId="9" borderId="0" xfId="0" applyFill="1" applyAlignment="1">
      <alignment vertical="top"/>
    </xf>
    <xf numFmtId="0" fontId="3" fillId="9" borderId="1" xfId="0" applyFont="1" applyFill="1" applyBorder="1" applyAlignment="1">
      <alignment vertical="top" wrapText="1"/>
    </xf>
    <xf numFmtId="0" fontId="0" fillId="10" borderId="1" xfId="0" applyFill="1" applyBorder="1" applyAlignment="1">
      <alignment vertical="top"/>
    </xf>
    <xf numFmtId="0" fontId="3" fillId="9" borderId="1" xfId="0" applyFont="1" applyFill="1" applyBorder="1" applyAlignment="1">
      <alignment vertical="top"/>
    </xf>
    <xf numFmtId="0" fontId="5" fillId="10" borderId="1" xfId="0" applyFont="1" applyFill="1" applyBorder="1" applyAlignment="1">
      <alignment vertical="top"/>
    </xf>
    <xf numFmtId="0" fontId="5" fillId="9" borderId="0" xfId="0" applyFont="1" applyFill="1" applyAlignment="1">
      <alignment vertical="top"/>
    </xf>
    <xf numFmtId="0" fontId="3" fillId="9" borderId="1" xfId="0" applyFont="1" applyFill="1" applyBorder="1" applyAlignment="1">
      <alignment horizontal="center" vertical="top"/>
    </xf>
    <xf numFmtId="0" fontId="3" fillId="9" borderId="2" xfId="0" applyFont="1" applyFill="1" applyBorder="1" applyAlignment="1">
      <alignment horizontal="center" vertical="top" wrapText="1"/>
    </xf>
    <xf numFmtId="0" fontId="6" fillId="9" borderId="0" xfId="0" applyFont="1" applyFill="1" applyAlignment="1">
      <alignment vertical="top"/>
    </xf>
    <xf numFmtId="0" fontId="6" fillId="9" borderId="1" xfId="0" applyFont="1" applyFill="1" applyBorder="1" applyAlignment="1">
      <alignment vertical="top" wrapText="1"/>
    </xf>
    <xf numFmtId="0" fontId="5" fillId="9" borderId="0" xfId="0" applyFont="1" applyFill="1" applyBorder="1" applyAlignment="1">
      <alignment vertical="top"/>
    </xf>
    <xf numFmtId="0" fontId="3" fillId="9" borderId="1" xfId="0" applyFont="1" applyFill="1" applyBorder="1" applyAlignment="1">
      <alignment horizontal="center" vertical="top" wrapText="1"/>
    </xf>
    <xf numFmtId="0" fontId="3" fillId="9" borderId="0" xfId="0" applyFont="1" applyFill="1" applyAlignment="1">
      <alignment vertical="top"/>
    </xf>
    <xf numFmtId="0" fontId="11" fillId="9" borderId="1" xfId="0" applyFont="1" applyFill="1" applyBorder="1" applyAlignment="1">
      <alignment horizontal="center" vertical="top"/>
    </xf>
    <xf numFmtId="0" fontId="1" fillId="9" borderId="3" xfId="0" applyFont="1" applyFill="1" applyBorder="1" applyAlignment="1">
      <alignment vertical="top" wrapText="1"/>
    </xf>
    <xf numFmtId="0" fontId="6" fillId="9" borderId="1" xfId="0" applyFont="1" applyFill="1" applyBorder="1" applyAlignment="1">
      <alignment vertical="top"/>
    </xf>
    <xf numFmtId="0" fontId="3" fillId="0" borderId="1" xfId="0" applyFont="1" applyFill="1" applyBorder="1" applyAlignment="1">
      <alignment vertical="top"/>
    </xf>
    <xf numFmtId="0" fontId="3" fillId="0" borderId="1" xfId="0" applyFont="1" applyFill="1" applyBorder="1" applyAlignment="1">
      <alignment horizontal="center" vertical="top"/>
    </xf>
    <xf numFmtId="0" fontId="3" fillId="0" borderId="1" xfId="0" applyFont="1" applyFill="1" applyBorder="1" applyAlignment="1">
      <alignment horizontal="center" vertical="top" wrapText="1"/>
    </xf>
    <xf numFmtId="0" fontId="11" fillId="0" borderId="1" xfId="0" applyFont="1" applyFill="1" applyBorder="1" applyAlignment="1">
      <alignment horizontal="center" vertical="top"/>
    </xf>
    <xf numFmtId="0" fontId="6" fillId="0" borderId="1" xfId="0" applyFont="1" applyFill="1" applyBorder="1" applyAlignment="1">
      <alignment vertical="top"/>
    </xf>
    <xf numFmtId="0" fontId="3" fillId="0" borderId="2" xfId="0" applyFont="1" applyFill="1" applyBorder="1" applyAlignment="1">
      <alignment horizontal="center" vertical="top" wrapText="1"/>
    </xf>
    <xf numFmtId="0" fontId="5" fillId="0" borderId="0" xfId="0" applyFont="1" applyFill="1" applyBorder="1" applyAlignment="1">
      <alignment vertical="top"/>
    </xf>
    <xf numFmtId="0" fontId="0" fillId="0" borderId="1" xfId="0" quotePrefix="1" applyFill="1" applyBorder="1" applyAlignment="1">
      <alignment vertical="top" wrapText="1"/>
    </xf>
    <xf numFmtId="0" fontId="8" fillId="0" borderId="1" xfId="0" applyFont="1" applyFill="1" applyBorder="1" applyAlignment="1">
      <alignment vertical="top"/>
    </xf>
    <xf numFmtId="0" fontId="2" fillId="9" borderId="1" xfId="0" applyFont="1" applyFill="1" applyBorder="1" applyAlignment="1">
      <alignment vertical="top" wrapText="1"/>
    </xf>
    <xf numFmtId="0" fontId="0" fillId="0" borderId="0" xfId="0" applyFill="1"/>
    <xf numFmtId="0" fontId="0" fillId="0" borderId="0" xfId="0" applyFill="1" applyAlignment="1">
      <alignment wrapText="1"/>
    </xf>
    <xf numFmtId="0" fontId="2" fillId="0" borderId="4" xfId="0" applyFont="1" applyFill="1" applyBorder="1" applyAlignment="1">
      <alignment horizontal="center"/>
    </xf>
    <xf numFmtId="0" fontId="2" fillId="0" borderId="4" xfId="0" applyFont="1" applyFill="1" applyBorder="1" applyAlignment="1">
      <alignment horizontal="center" wrapText="1"/>
    </xf>
    <xf numFmtId="0" fontId="2" fillId="0" borderId="4" xfId="0" applyFont="1" applyFill="1" applyBorder="1" applyAlignment="1">
      <alignment vertical="top" wrapText="1"/>
    </xf>
    <xf numFmtId="0" fontId="5" fillId="0" borderId="4" xfId="0" applyFont="1" applyFill="1" applyBorder="1" applyAlignment="1">
      <alignment wrapText="1"/>
    </xf>
    <xf numFmtId="0" fontId="2" fillId="0" borderId="4" xfId="0" applyFont="1" applyFill="1" applyBorder="1" applyAlignment="1">
      <alignment vertical="top"/>
    </xf>
    <xf numFmtId="0" fontId="0" fillId="0" borderId="4" xfId="0" applyFill="1" applyBorder="1" applyAlignment="1">
      <alignment horizontal="center" vertical="top" wrapText="1"/>
    </xf>
    <xf numFmtId="0" fontId="0" fillId="0" borderId="4" xfId="0" applyFill="1" applyBorder="1" applyAlignment="1">
      <alignment wrapText="1"/>
    </xf>
    <xf numFmtId="0" fontId="2" fillId="0" borderId="4" xfId="0" applyFont="1" applyFill="1" applyBorder="1" applyAlignment="1">
      <alignment horizontal="center" vertical="top" wrapText="1"/>
    </xf>
    <xf numFmtId="0" fontId="0" fillId="0" borderId="4" xfId="0" applyFill="1" applyBorder="1" applyAlignment="1">
      <alignment vertical="top"/>
    </xf>
    <xf numFmtId="1" fontId="2" fillId="3" borderId="1" xfId="0" applyNumberFormat="1" applyFont="1" applyFill="1" applyBorder="1" applyAlignment="1">
      <alignment vertical="top" wrapText="1"/>
    </xf>
    <xf numFmtId="1" fontId="5" fillId="0" borderId="1" xfId="0" applyNumberFormat="1" applyFont="1" applyFill="1" applyBorder="1" applyAlignment="1">
      <alignment vertical="top"/>
    </xf>
    <xf numFmtId="1" fontId="5" fillId="9" borderId="1" xfId="0" applyNumberFormat="1" applyFont="1" applyFill="1" applyBorder="1" applyAlignment="1">
      <alignment vertical="top"/>
    </xf>
    <xf numFmtId="1" fontId="3" fillId="0" borderId="1" xfId="0" applyNumberFormat="1" applyFont="1" applyFill="1" applyBorder="1" applyAlignment="1">
      <alignment vertical="top"/>
    </xf>
    <xf numFmtId="1" fontId="0" fillId="0" borderId="1" xfId="0" applyNumberFormat="1" applyFill="1" applyBorder="1" applyAlignment="1">
      <alignment vertical="top"/>
    </xf>
    <xf numFmtId="1" fontId="11" fillId="0" borderId="1" xfId="0" applyNumberFormat="1" applyFont="1" applyFill="1" applyBorder="1" applyAlignment="1">
      <alignment vertical="top"/>
    </xf>
    <xf numFmtId="1" fontId="3" fillId="9" borderId="1" xfId="0" applyNumberFormat="1" applyFont="1" applyFill="1" applyBorder="1" applyAlignment="1">
      <alignment vertical="top"/>
    </xf>
    <xf numFmtId="1" fontId="0" fillId="9" borderId="1" xfId="0" applyNumberFormat="1" applyFill="1" applyBorder="1" applyAlignment="1">
      <alignment vertical="top"/>
    </xf>
    <xf numFmtId="1" fontId="1" fillId="9" borderId="1" xfId="0" applyNumberFormat="1" applyFont="1" applyFill="1" applyBorder="1" applyAlignment="1">
      <alignment vertical="top"/>
    </xf>
    <xf numFmtId="1" fontId="0" fillId="0" borderId="1" xfId="0" applyNumberFormat="1" applyBorder="1" applyAlignment="1">
      <alignment vertical="top"/>
    </xf>
    <xf numFmtId="1" fontId="11" fillId="9" borderId="1" xfId="0" applyNumberFormat="1" applyFont="1" applyFill="1" applyBorder="1" applyAlignment="1">
      <alignment vertical="top"/>
    </xf>
    <xf numFmtId="1" fontId="0" fillId="0" borderId="0" xfId="0" applyNumberFormat="1" applyAlignment="1">
      <alignment vertical="top"/>
    </xf>
    <xf numFmtId="2" fontId="2" fillId="3" borderId="1" xfId="0" applyNumberFormat="1" applyFont="1" applyFill="1" applyBorder="1" applyAlignment="1">
      <alignment vertical="top" wrapText="1"/>
    </xf>
    <xf numFmtId="2" fontId="5" fillId="0" borderId="1" xfId="0" applyNumberFormat="1" applyFont="1" applyFill="1" applyBorder="1" applyAlignment="1">
      <alignment vertical="top"/>
    </xf>
    <xf numFmtId="2" fontId="5" fillId="9" borderId="1" xfId="0" applyNumberFormat="1" applyFont="1" applyFill="1" applyBorder="1" applyAlignment="1">
      <alignment vertical="top"/>
    </xf>
    <xf numFmtId="2" fontId="0" fillId="0" borderId="1" xfId="0" applyNumberFormat="1" applyFill="1" applyBorder="1" applyAlignment="1">
      <alignment vertical="top"/>
    </xf>
    <xf numFmtId="2" fontId="3" fillId="0" borderId="1" xfId="0" applyNumberFormat="1" applyFont="1" applyFill="1" applyBorder="1" applyAlignment="1">
      <alignment vertical="top"/>
    </xf>
    <xf numFmtId="2" fontId="3" fillId="9" borderId="1" xfId="0" applyNumberFormat="1" applyFont="1" applyFill="1" applyBorder="1" applyAlignment="1">
      <alignment vertical="top"/>
    </xf>
    <xf numFmtId="2" fontId="0" fillId="9" borderId="1" xfId="0" applyNumberFormat="1" applyFill="1" applyBorder="1" applyAlignment="1">
      <alignment vertical="top"/>
    </xf>
    <xf numFmtId="2" fontId="0" fillId="0" borderId="1" xfId="0" applyNumberFormat="1" applyBorder="1" applyAlignment="1">
      <alignment vertical="top"/>
    </xf>
    <xf numFmtId="2" fontId="11" fillId="0" borderId="1" xfId="0" applyNumberFormat="1" applyFont="1" applyFill="1" applyBorder="1" applyAlignment="1">
      <alignment vertical="top"/>
    </xf>
    <xf numFmtId="2" fontId="0" fillId="0" borderId="0" xfId="0" applyNumberFormat="1" applyAlignment="1">
      <alignment vertical="top"/>
    </xf>
    <xf numFmtId="2" fontId="1" fillId="9" borderId="1" xfId="0" applyNumberFormat="1"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CA"/>
              <a:t>Frequency Coverage</a:t>
            </a:r>
          </a:p>
        </c:rich>
      </c:tx>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bar3DChart>
        <c:barDir val="bar"/>
        <c:grouping val="stacked"/>
        <c:varyColors val="0"/>
        <c:ser>
          <c:idx val="0"/>
          <c:order val="0"/>
          <c:tx>
            <c:strRef>
              <c:f>'[1]MHP Emulator Emitter List'!$I$1</c:f>
              <c:strCache>
                <c:ptCount val="1"/>
                <c:pt idx="0">
                  <c:v>Freq_Min (MHz) </c:v>
                </c:pt>
              </c:strCache>
            </c:strRef>
          </c:tx>
          <c:spPr>
            <a:noFill/>
          </c:spPr>
          <c:invertIfNegative val="0"/>
          <c:cat>
            <c:strRef>
              <c:f>'[1]MHP Emulator Emitter List'!$B$2:$B$113</c:f>
              <c:strCache>
                <c:ptCount val="112"/>
                <c:pt idx="0">
                  <c:v>EMITTER_1</c:v>
                </c:pt>
                <c:pt idx="1">
                  <c:v>EMITTER_1</c:v>
                </c:pt>
                <c:pt idx="2">
                  <c:v>EMITTER_2</c:v>
                </c:pt>
                <c:pt idx="3">
                  <c:v>EMITTER_2</c:v>
                </c:pt>
                <c:pt idx="4">
                  <c:v>EMITTER_3</c:v>
                </c:pt>
                <c:pt idx="5">
                  <c:v>EMITTER_3</c:v>
                </c:pt>
                <c:pt idx="6">
                  <c:v>EMITTER_3</c:v>
                </c:pt>
                <c:pt idx="7">
                  <c:v>EMITTER_4</c:v>
                </c:pt>
                <c:pt idx="8">
                  <c:v>EMITTER_4</c:v>
                </c:pt>
                <c:pt idx="9">
                  <c:v>EMITTER_5</c:v>
                </c:pt>
                <c:pt idx="10">
                  <c:v>EMITTER_6</c:v>
                </c:pt>
                <c:pt idx="11">
                  <c:v>EMITTER_6</c:v>
                </c:pt>
                <c:pt idx="12">
                  <c:v>EMITTER_7</c:v>
                </c:pt>
                <c:pt idx="13">
                  <c:v>EMITTER_8</c:v>
                </c:pt>
                <c:pt idx="14">
                  <c:v>EMITTER_8</c:v>
                </c:pt>
                <c:pt idx="15">
                  <c:v>EMITTER_8</c:v>
                </c:pt>
                <c:pt idx="16">
                  <c:v>EMITTER_9</c:v>
                </c:pt>
                <c:pt idx="17">
                  <c:v>EMITTER_9</c:v>
                </c:pt>
                <c:pt idx="18">
                  <c:v>EMITTER_9</c:v>
                </c:pt>
                <c:pt idx="19">
                  <c:v>EMITTER_10</c:v>
                </c:pt>
                <c:pt idx="20">
                  <c:v>EMITTER_10</c:v>
                </c:pt>
                <c:pt idx="21">
                  <c:v>EMITTER_10</c:v>
                </c:pt>
                <c:pt idx="22">
                  <c:v>EMITTER_11</c:v>
                </c:pt>
                <c:pt idx="23">
                  <c:v>EMITTER_11</c:v>
                </c:pt>
                <c:pt idx="24">
                  <c:v>EMITTER_12</c:v>
                </c:pt>
                <c:pt idx="25">
                  <c:v>EMITTER_12</c:v>
                </c:pt>
                <c:pt idx="26">
                  <c:v>EMITTER_12</c:v>
                </c:pt>
                <c:pt idx="27">
                  <c:v>EMITTER_13</c:v>
                </c:pt>
                <c:pt idx="28">
                  <c:v>EMITTER_13</c:v>
                </c:pt>
                <c:pt idx="29">
                  <c:v>EMITTER_13</c:v>
                </c:pt>
                <c:pt idx="30">
                  <c:v>EMITTER_14</c:v>
                </c:pt>
                <c:pt idx="31">
                  <c:v>EMITTER_14</c:v>
                </c:pt>
                <c:pt idx="32">
                  <c:v>EMITTER_15</c:v>
                </c:pt>
                <c:pt idx="33">
                  <c:v>EMITTER_15</c:v>
                </c:pt>
                <c:pt idx="34">
                  <c:v>EMITTER_15</c:v>
                </c:pt>
                <c:pt idx="35">
                  <c:v>EMITTER_16</c:v>
                </c:pt>
                <c:pt idx="36">
                  <c:v>EMITTER_16</c:v>
                </c:pt>
                <c:pt idx="37">
                  <c:v>EMITTER_16</c:v>
                </c:pt>
                <c:pt idx="38">
                  <c:v>EMITTER_16</c:v>
                </c:pt>
                <c:pt idx="39">
                  <c:v>EMITTER_17</c:v>
                </c:pt>
                <c:pt idx="40">
                  <c:v>EMITTER_18</c:v>
                </c:pt>
                <c:pt idx="41">
                  <c:v>EMITTER_18</c:v>
                </c:pt>
                <c:pt idx="42">
                  <c:v>EMITTER_18</c:v>
                </c:pt>
                <c:pt idx="43">
                  <c:v>EMITTER_19</c:v>
                </c:pt>
                <c:pt idx="44">
                  <c:v>EMITTER_19</c:v>
                </c:pt>
                <c:pt idx="45">
                  <c:v>EMITTER_20</c:v>
                </c:pt>
                <c:pt idx="46">
                  <c:v>EMITTER_21</c:v>
                </c:pt>
                <c:pt idx="47">
                  <c:v>EMITTER_21</c:v>
                </c:pt>
                <c:pt idx="48">
                  <c:v>EMITTER_22</c:v>
                </c:pt>
                <c:pt idx="49">
                  <c:v>EMITTER_22</c:v>
                </c:pt>
                <c:pt idx="50">
                  <c:v>EMITTER_22</c:v>
                </c:pt>
                <c:pt idx="51">
                  <c:v>EMITTER_23</c:v>
                </c:pt>
                <c:pt idx="52">
                  <c:v>EMITTER_24</c:v>
                </c:pt>
                <c:pt idx="53">
                  <c:v>EMITTER_25</c:v>
                </c:pt>
                <c:pt idx="54">
                  <c:v>EMITTER_25</c:v>
                </c:pt>
                <c:pt idx="55">
                  <c:v>EMITTER_25</c:v>
                </c:pt>
                <c:pt idx="56">
                  <c:v>EMITTER_25</c:v>
                </c:pt>
                <c:pt idx="57">
                  <c:v>EMITTER_25</c:v>
                </c:pt>
                <c:pt idx="58">
                  <c:v>EMITTER_25</c:v>
                </c:pt>
                <c:pt idx="59">
                  <c:v>EMITTER_26</c:v>
                </c:pt>
                <c:pt idx="60">
                  <c:v>EMITTER_26</c:v>
                </c:pt>
                <c:pt idx="61">
                  <c:v>EMITTER_27</c:v>
                </c:pt>
                <c:pt idx="62">
                  <c:v>EMITTER_27</c:v>
                </c:pt>
                <c:pt idx="63">
                  <c:v>EMITTER_27</c:v>
                </c:pt>
                <c:pt idx="64">
                  <c:v>EMITTER_27</c:v>
                </c:pt>
                <c:pt idx="65">
                  <c:v>EMITTER_28</c:v>
                </c:pt>
                <c:pt idx="66">
                  <c:v>EMITTER_29</c:v>
                </c:pt>
                <c:pt idx="67">
                  <c:v>EMITTER_30</c:v>
                </c:pt>
                <c:pt idx="68">
                  <c:v>EMITTER_30</c:v>
                </c:pt>
                <c:pt idx="69">
                  <c:v>EMITTER_31</c:v>
                </c:pt>
                <c:pt idx="70">
                  <c:v>EMITTER_31</c:v>
                </c:pt>
                <c:pt idx="71">
                  <c:v>EMITTER_32</c:v>
                </c:pt>
                <c:pt idx="72">
                  <c:v>EMITTER_33</c:v>
                </c:pt>
                <c:pt idx="73">
                  <c:v>EMITTER_34</c:v>
                </c:pt>
                <c:pt idx="74">
                  <c:v>EMITTER_34</c:v>
                </c:pt>
                <c:pt idx="75">
                  <c:v>EMITTER_34</c:v>
                </c:pt>
                <c:pt idx="76">
                  <c:v>EMITTER_35</c:v>
                </c:pt>
                <c:pt idx="77">
                  <c:v>EMITTER_35</c:v>
                </c:pt>
                <c:pt idx="78">
                  <c:v>EMITTER_35</c:v>
                </c:pt>
                <c:pt idx="79">
                  <c:v>EMITTER_36</c:v>
                </c:pt>
                <c:pt idx="80">
                  <c:v>EMITTER_37</c:v>
                </c:pt>
                <c:pt idx="81">
                  <c:v>EMITTER_37</c:v>
                </c:pt>
                <c:pt idx="82">
                  <c:v>EMITTER_38</c:v>
                </c:pt>
                <c:pt idx="83">
                  <c:v>EMITTER_39</c:v>
                </c:pt>
                <c:pt idx="84">
                  <c:v>EMITTER_39</c:v>
                </c:pt>
                <c:pt idx="85">
                  <c:v>EMITTER_39</c:v>
                </c:pt>
                <c:pt idx="86">
                  <c:v>EMITTER_39</c:v>
                </c:pt>
                <c:pt idx="87">
                  <c:v>EMITTER_40</c:v>
                </c:pt>
                <c:pt idx="88">
                  <c:v>EMITTER_40</c:v>
                </c:pt>
                <c:pt idx="89">
                  <c:v>EMITTER_40</c:v>
                </c:pt>
                <c:pt idx="90">
                  <c:v>EMITTER_40</c:v>
                </c:pt>
                <c:pt idx="91">
                  <c:v>EMITTER_41</c:v>
                </c:pt>
                <c:pt idx="92">
                  <c:v>EMITTER_42</c:v>
                </c:pt>
                <c:pt idx="93">
                  <c:v>EMITTER_42</c:v>
                </c:pt>
                <c:pt idx="94">
                  <c:v>EMITTER_42</c:v>
                </c:pt>
                <c:pt idx="95">
                  <c:v>EMITTER_43</c:v>
                </c:pt>
                <c:pt idx="96">
                  <c:v>EMITTER_43</c:v>
                </c:pt>
                <c:pt idx="97">
                  <c:v>EMITTER_43</c:v>
                </c:pt>
                <c:pt idx="98">
                  <c:v>EMITTER_43</c:v>
                </c:pt>
                <c:pt idx="99">
                  <c:v>EMITTER_44</c:v>
                </c:pt>
                <c:pt idx="100">
                  <c:v>EMITTER_44</c:v>
                </c:pt>
                <c:pt idx="101">
                  <c:v>EMITTER_45</c:v>
                </c:pt>
                <c:pt idx="102">
                  <c:v>EMITTER_45</c:v>
                </c:pt>
                <c:pt idx="103">
                  <c:v>EMITTER_46</c:v>
                </c:pt>
                <c:pt idx="104">
                  <c:v>EMITTER_47</c:v>
                </c:pt>
                <c:pt idx="105">
                  <c:v>EMITTER_48</c:v>
                </c:pt>
                <c:pt idx="106">
                  <c:v>EMITTER_48</c:v>
                </c:pt>
                <c:pt idx="107">
                  <c:v>EMITTER_48</c:v>
                </c:pt>
                <c:pt idx="108">
                  <c:v>EMITTER_49</c:v>
                </c:pt>
                <c:pt idx="109">
                  <c:v>EMITTER_50</c:v>
                </c:pt>
                <c:pt idx="110">
                  <c:v>EMITTER_50</c:v>
                </c:pt>
                <c:pt idx="111">
                  <c:v>EMITTER_50</c:v>
                </c:pt>
              </c:strCache>
            </c:strRef>
          </c:cat>
          <c:val>
            <c:numRef>
              <c:f>'[1]MHP Emulator Emitter List'!$I$2:$I$113</c:f>
              <c:numCache>
                <c:formatCode>General</c:formatCode>
                <c:ptCount val="112"/>
                <c:pt idx="0">
                  <c:v>8000</c:v>
                </c:pt>
                <c:pt idx="1">
                  <c:v>8000</c:v>
                </c:pt>
                <c:pt idx="2">
                  <c:v>4600</c:v>
                </c:pt>
                <c:pt idx="3">
                  <c:v>9200</c:v>
                </c:pt>
                <c:pt idx="4">
                  <c:v>9900</c:v>
                </c:pt>
                <c:pt idx="5">
                  <c:v>9900</c:v>
                </c:pt>
                <c:pt idx="6">
                  <c:v>9900</c:v>
                </c:pt>
                <c:pt idx="7">
                  <c:v>2200</c:v>
                </c:pt>
                <c:pt idx="8">
                  <c:v>2200</c:v>
                </c:pt>
                <c:pt idx="9">
                  <c:v>1225</c:v>
                </c:pt>
                <c:pt idx="10">
                  <c:v>2500</c:v>
                </c:pt>
                <c:pt idx="11">
                  <c:v>2700</c:v>
                </c:pt>
                <c:pt idx="12">
                  <c:v>8000</c:v>
                </c:pt>
                <c:pt idx="13">
                  <c:v>5500</c:v>
                </c:pt>
                <c:pt idx="14">
                  <c:v>5700</c:v>
                </c:pt>
                <c:pt idx="15">
                  <c:v>5810</c:v>
                </c:pt>
                <c:pt idx="16">
                  <c:v>7500</c:v>
                </c:pt>
                <c:pt idx="17">
                  <c:v>15000</c:v>
                </c:pt>
                <c:pt idx="18">
                  <c:v>7500</c:v>
                </c:pt>
                <c:pt idx="19">
                  <c:v>7000</c:v>
                </c:pt>
                <c:pt idx="20">
                  <c:v>15000</c:v>
                </c:pt>
                <c:pt idx="21">
                  <c:v>12000</c:v>
                </c:pt>
                <c:pt idx="22">
                  <c:v>16000</c:v>
                </c:pt>
                <c:pt idx="23">
                  <c:v>16000</c:v>
                </c:pt>
                <c:pt idx="24">
                  <c:v>2100</c:v>
                </c:pt>
                <c:pt idx="25">
                  <c:v>14511</c:v>
                </c:pt>
                <c:pt idx="26">
                  <c:v>2180</c:v>
                </c:pt>
                <c:pt idx="27">
                  <c:v>3000</c:v>
                </c:pt>
                <c:pt idx="28">
                  <c:v>2900</c:v>
                </c:pt>
                <c:pt idx="29">
                  <c:v>2800</c:v>
                </c:pt>
                <c:pt idx="30">
                  <c:v>4500</c:v>
                </c:pt>
                <c:pt idx="31">
                  <c:v>4600</c:v>
                </c:pt>
                <c:pt idx="32">
                  <c:v>9000</c:v>
                </c:pt>
                <c:pt idx="33">
                  <c:v>10600</c:v>
                </c:pt>
                <c:pt idx="34">
                  <c:v>13500</c:v>
                </c:pt>
                <c:pt idx="35">
                  <c:v>0</c:v>
                </c:pt>
                <c:pt idx="36">
                  <c:v>0</c:v>
                </c:pt>
                <c:pt idx="37">
                  <c:v>0</c:v>
                </c:pt>
                <c:pt idx="38">
                  <c:v>0</c:v>
                </c:pt>
                <c:pt idx="39">
                  <c:v>13000</c:v>
                </c:pt>
                <c:pt idx="40">
                  <c:v>9000</c:v>
                </c:pt>
                <c:pt idx="41">
                  <c:v>9000</c:v>
                </c:pt>
                <c:pt idx="42">
                  <c:v>9000</c:v>
                </c:pt>
                <c:pt idx="43">
                  <c:v>3700</c:v>
                </c:pt>
                <c:pt idx="44">
                  <c:v>3770</c:v>
                </c:pt>
                <c:pt idx="45">
                  <c:v>2111</c:v>
                </c:pt>
                <c:pt idx="46">
                  <c:v>6000</c:v>
                </c:pt>
                <c:pt idx="47">
                  <c:v>6000</c:v>
                </c:pt>
                <c:pt idx="48">
                  <c:v>5000</c:v>
                </c:pt>
                <c:pt idx="49">
                  <c:v>5000</c:v>
                </c:pt>
                <c:pt idx="50">
                  <c:v>5000</c:v>
                </c:pt>
                <c:pt idx="51">
                  <c:v>8000</c:v>
                </c:pt>
                <c:pt idx="52">
                  <c:v>2500</c:v>
                </c:pt>
                <c:pt idx="53">
                  <c:v>4550</c:v>
                </c:pt>
                <c:pt idx="54">
                  <c:v>4588</c:v>
                </c:pt>
                <c:pt idx="55">
                  <c:v>4620</c:v>
                </c:pt>
                <c:pt idx="56">
                  <c:v>4720</c:v>
                </c:pt>
                <c:pt idx="57">
                  <c:v>4788</c:v>
                </c:pt>
                <c:pt idx="58">
                  <c:v>4818</c:v>
                </c:pt>
                <c:pt idx="59">
                  <c:v>4900</c:v>
                </c:pt>
                <c:pt idx="60">
                  <c:v>4960</c:v>
                </c:pt>
                <c:pt idx="61">
                  <c:v>5000</c:v>
                </c:pt>
                <c:pt idx="62">
                  <c:v>5100</c:v>
                </c:pt>
                <c:pt idx="63">
                  <c:v>5100</c:v>
                </c:pt>
                <c:pt idx="64">
                  <c:v>700</c:v>
                </c:pt>
                <c:pt idx="65">
                  <c:v>2000</c:v>
                </c:pt>
                <c:pt idx="66">
                  <c:v>6700</c:v>
                </c:pt>
                <c:pt idx="67">
                  <c:v>4600</c:v>
                </c:pt>
                <c:pt idx="68">
                  <c:v>4600</c:v>
                </c:pt>
                <c:pt idx="69">
                  <c:v>5000</c:v>
                </c:pt>
                <c:pt idx="70">
                  <c:v>5100</c:v>
                </c:pt>
                <c:pt idx="71">
                  <c:v>4600</c:v>
                </c:pt>
                <c:pt idx="72">
                  <c:v>800</c:v>
                </c:pt>
                <c:pt idx="73">
                  <c:v>1200</c:v>
                </c:pt>
                <c:pt idx="74">
                  <c:v>17011</c:v>
                </c:pt>
                <c:pt idx="75">
                  <c:v>16500</c:v>
                </c:pt>
                <c:pt idx="76">
                  <c:v>3000</c:v>
                </c:pt>
                <c:pt idx="77">
                  <c:v>3100</c:v>
                </c:pt>
                <c:pt idx="78">
                  <c:v>3900</c:v>
                </c:pt>
                <c:pt idx="79">
                  <c:v>8800</c:v>
                </c:pt>
                <c:pt idx="80">
                  <c:v>5000</c:v>
                </c:pt>
                <c:pt idx="81">
                  <c:v>2700</c:v>
                </c:pt>
                <c:pt idx="82">
                  <c:v>850</c:v>
                </c:pt>
                <c:pt idx="83">
                  <c:v>2700</c:v>
                </c:pt>
                <c:pt idx="84">
                  <c:v>2700</c:v>
                </c:pt>
                <c:pt idx="85">
                  <c:v>2700</c:v>
                </c:pt>
                <c:pt idx="86">
                  <c:v>2700</c:v>
                </c:pt>
                <c:pt idx="87">
                  <c:v>4600</c:v>
                </c:pt>
                <c:pt idx="88">
                  <c:v>4600</c:v>
                </c:pt>
                <c:pt idx="89">
                  <c:v>4600</c:v>
                </c:pt>
                <c:pt idx="90">
                  <c:v>4600</c:v>
                </c:pt>
                <c:pt idx="91">
                  <c:v>9000</c:v>
                </c:pt>
                <c:pt idx="92">
                  <c:v>6000</c:v>
                </c:pt>
                <c:pt idx="93">
                  <c:v>7000</c:v>
                </c:pt>
                <c:pt idx="94">
                  <c:v>9800</c:v>
                </c:pt>
                <c:pt idx="95">
                  <c:v>5700</c:v>
                </c:pt>
                <c:pt idx="96">
                  <c:v>5800</c:v>
                </c:pt>
                <c:pt idx="97">
                  <c:v>888</c:v>
                </c:pt>
                <c:pt idx="98">
                  <c:v>888</c:v>
                </c:pt>
                <c:pt idx="99">
                  <c:v>16500</c:v>
                </c:pt>
                <c:pt idx="100">
                  <c:v>13200</c:v>
                </c:pt>
                <c:pt idx="101">
                  <c:v>2111</c:v>
                </c:pt>
                <c:pt idx="102">
                  <c:v>2111</c:v>
                </c:pt>
                <c:pt idx="103">
                  <c:v>13000</c:v>
                </c:pt>
                <c:pt idx="104">
                  <c:v>2600</c:v>
                </c:pt>
                <c:pt idx="105">
                  <c:v>8800</c:v>
                </c:pt>
                <c:pt idx="106">
                  <c:v>8800</c:v>
                </c:pt>
                <c:pt idx="107">
                  <c:v>1200</c:v>
                </c:pt>
                <c:pt idx="108">
                  <c:v>8000</c:v>
                </c:pt>
                <c:pt idx="109">
                  <c:v>7100</c:v>
                </c:pt>
                <c:pt idx="110">
                  <c:v>7100</c:v>
                </c:pt>
                <c:pt idx="111">
                  <c:v>7300</c:v>
                </c:pt>
              </c:numCache>
            </c:numRef>
          </c:val>
          <c:extLst>
            <c:ext xmlns:c16="http://schemas.microsoft.com/office/drawing/2014/chart" uri="{C3380CC4-5D6E-409C-BE32-E72D297353CC}">
              <c16:uniqueId val="{00000000-DB1C-4382-98EE-7CB22D71B908}"/>
            </c:ext>
          </c:extLst>
        </c:ser>
        <c:ser>
          <c:idx val="1"/>
          <c:order val="1"/>
          <c:tx>
            <c:strRef>
              <c:f>'[1]MHP Emulator Emitter List'!$J$1</c:f>
              <c:strCache>
                <c:ptCount val="1"/>
                <c:pt idx="0">
                  <c:v>Freq_Max (MHz) </c:v>
                </c:pt>
              </c:strCache>
            </c:strRef>
          </c:tx>
          <c:invertIfNegative val="0"/>
          <c:cat>
            <c:strRef>
              <c:f>'[1]MHP Emulator Emitter List'!$B$2:$B$113</c:f>
              <c:strCache>
                <c:ptCount val="112"/>
                <c:pt idx="0">
                  <c:v>EMITTER_1</c:v>
                </c:pt>
                <c:pt idx="1">
                  <c:v>EMITTER_1</c:v>
                </c:pt>
                <c:pt idx="2">
                  <c:v>EMITTER_2</c:v>
                </c:pt>
                <c:pt idx="3">
                  <c:v>EMITTER_2</c:v>
                </c:pt>
                <c:pt idx="4">
                  <c:v>EMITTER_3</c:v>
                </c:pt>
                <c:pt idx="5">
                  <c:v>EMITTER_3</c:v>
                </c:pt>
                <c:pt idx="6">
                  <c:v>EMITTER_3</c:v>
                </c:pt>
                <c:pt idx="7">
                  <c:v>EMITTER_4</c:v>
                </c:pt>
                <c:pt idx="8">
                  <c:v>EMITTER_4</c:v>
                </c:pt>
                <c:pt idx="9">
                  <c:v>EMITTER_5</c:v>
                </c:pt>
                <c:pt idx="10">
                  <c:v>EMITTER_6</c:v>
                </c:pt>
                <c:pt idx="11">
                  <c:v>EMITTER_6</c:v>
                </c:pt>
                <c:pt idx="12">
                  <c:v>EMITTER_7</c:v>
                </c:pt>
                <c:pt idx="13">
                  <c:v>EMITTER_8</c:v>
                </c:pt>
                <c:pt idx="14">
                  <c:v>EMITTER_8</c:v>
                </c:pt>
                <c:pt idx="15">
                  <c:v>EMITTER_8</c:v>
                </c:pt>
                <c:pt idx="16">
                  <c:v>EMITTER_9</c:v>
                </c:pt>
                <c:pt idx="17">
                  <c:v>EMITTER_9</c:v>
                </c:pt>
                <c:pt idx="18">
                  <c:v>EMITTER_9</c:v>
                </c:pt>
                <c:pt idx="19">
                  <c:v>EMITTER_10</c:v>
                </c:pt>
                <c:pt idx="20">
                  <c:v>EMITTER_10</c:v>
                </c:pt>
                <c:pt idx="21">
                  <c:v>EMITTER_10</c:v>
                </c:pt>
                <c:pt idx="22">
                  <c:v>EMITTER_11</c:v>
                </c:pt>
                <c:pt idx="23">
                  <c:v>EMITTER_11</c:v>
                </c:pt>
                <c:pt idx="24">
                  <c:v>EMITTER_12</c:v>
                </c:pt>
                <c:pt idx="25">
                  <c:v>EMITTER_12</c:v>
                </c:pt>
                <c:pt idx="26">
                  <c:v>EMITTER_12</c:v>
                </c:pt>
                <c:pt idx="27">
                  <c:v>EMITTER_13</c:v>
                </c:pt>
                <c:pt idx="28">
                  <c:v>EMITTER_13</c:v>
                </c:pt>
                <c:pt idx="29">
                  <c:v>EMITTER_13</c:v>
                </c:pt>
                <c:pt idx="30">
                  <c:v>EMITTER_14</c:v>
                </c:pt>
                <c:pt idx="31">
                  <c:v>EMITTER_14</c:v>
                </c:pt>
                <c:pt idx="32">
                  <c:v>EMITTER_15</c:v>
                </c:pt>
                <c:pt idx="33">
                  <c:v>EMITTER_15</c:v>
                </c:pt>
                <c:pt idx="34">
                  <c:v>EMITTER_15</c:v>
                </c:pt>
                <c:pt idx="35">
                  <c:v>EMITTER_16</c:v>
                </c:pt>
                <c:pt idx="36">
                  <c:v>EMITTER_16</c:v>
                </c:pt>
                <c:pt idx="37">
                  <c:v>EMITTER_16</c:v>
                </c:pt>
                <c:pt idx="38">
                  <c:v>EMITTER_16</c:v>
                </c:pt>
                <c:pt idx="39">
                  <c:v>EMITTER_17</c:v>
                </c:pt>
                <c:pt idx="40">
                  <c:v>EMITTER_18</c:v>
                </c:pt>
                <c:pt idx="41">
                  <c:v>EMITTER_18</c:v>
                </c:pt>
                <c:pt idx="42">
                  <c:v>EMITTER_18</c:v>
                </c:pt>
                <c:pt idx="43">
                  <c:v>EMITTER_19</c:v>
                </c:pt>
                <c:pt idx="44">
                  <c:v>EMITTER_19</c:v>
                </c:pt>
                <c:pt idx="45">
                  <c:v>EMITTER_20</c:v>
                </c:pt>
                <c:pt idx="46">
                  <c:v>EMITTER_21</c:v>
                </c:pt>
                <c:pt idx="47">
                  <c:v>EMITTER_21</c:v>
                </c:pt>
                <c:pt idx="48">
                  <c:v>EMITTER_22</c:v>
                </c:pt>
                <c:pt idx="49">
                  <c:v>EMITTER_22</c:v>
                </c:pt>
                <c:pt idx="50">
                  <c:v>EMITTER_22</c:v>
                </c:pt>
                <c:pt idx="51">
                  <c:v>EMITTER_23</c:v>
                </c:pt>
                <c:pt idx="52">
                  <c:v>EMITTER_24</c:v>
                </c:pt>
                <c:pt idx="53">
                  <c:v>EMITTER_25</c:v>
                </c:pt>
                <c:pt idx="54">
                  <c:v>EMITTER_25</c:v>
                </c:pt>
                <c:pt idx="55">
                  <c:v>EMITTER_25</c:v>
                </c:pt>
                <c:pt idx="56">
                  <c:v>EMITTER_25</c:v>
                </c:pt>
                <c:pt idx="57">
                  <c:v>EMITTER_25</c:v>
                </c:pt>
                <c:pt idx="58">
                  <c:v>EMITTER_25</c:v>
                </c:pt>
                <c:pt idx="59">
                  <c:v>EMITTER_26</c:v>
                </c:pt>
                <c:pt idx="60">
                  <c:v>EMITTER_26</c:v>
                </c:pt>
                <c:pt idx="61">
                  <c:v>EMITTER_27</c:v>
                </c:pt>
                <c:pt idx="62">
                  <c:v>EMITTER_27</c:v>
                </c:pt>
                <c:pt idx="63">
                  <c:v>EMITTER_27</c:v>
                </c:pt>
                <c:pt idx="64">
                  <c:v>EMITTER_27</c:v>
                </c:pt>
                <c:pt idx="65">
                  <c:v>EMITTER_28</c:v>
                </c:pt>
                <c:pt idx="66">
                  <c:v>EMITTER_29</c:v>
                </c:pt>
                <c:pt idx="67">
                  <c:v>EMITTER_30</c:v>
                </c:pt>
                <c:pt idx="68">
                  <c:v>EMITTER_30</c:v>
                </c:pt>
                <c:pt idx="69">
                  <c:v>EMITTER_31</c:v>
                </c:pt>
                <c:pt idx="70">
                  <c:v>EMITTER_31</c:v>
                </c:pt>
                <c:pt idx="71">
                  <c:v>EMITTER_32</c:v>
                </c:pt>
                <c:pt idx="72">
                  <c:v>EMITTER_33</c:v>
                </c:pt>
                <c:pt idx="73">
                  <c:v>EMITTER_34</c:v>
                </c:pt>
                <c:pt idx="74">
                  <c:v>EMITTER_34</c:v>
                </c:pt>
                <c:pt idx="75">
                  <c:v>EMITTER_34</c:v>
                </c:pt>
                <c:pt idx="76">
                  <c:v>EMITTER_35</c:v>
                </c:pt>
                <c:pt idx="77">
                  <c:v>EMITTER_35</c:v>
                </c:pt>
                <c:pt idx="78">
                  <c:v>EMITTER_35</c:v>
                </c:pt>
                <c:pt idx="79">
                  <c:v>EMITTER_36</c:v>
                </c:pt>
                <c:pt idx="80">
                  <c:v>EMITTER_37</c:v>
                </c:pt>
                <c:pt idx="81">
                  <c:v>EMITTER_37</c:v>
                </c:pt>
                <c:pt idx="82">
                  <c:v>EMITTER_38</c:v>
                </c:pt>
                <c:pt idx="83">
                  <c:v>EMITTER_39</c:v>
                </c:pt>
                <c:pt idx="84">
                  <c:v>EMITTER_39</c:v>
                </c:pt>
                <c:pt idx="85">
                  <c:v>EMITTER_39</c:v>
                </c:pt>
                <c:pt idx="86">
                  <c:v>EMITTER_39</c:v>
                </c:pt>
                <c:pt idx="87">
                  <c:v>EMITTER_40</c:v>
                </c:pt>
                <c:pt idx="88">
                  <c:v>EMITTER_40</c:v>
                </c:pt>
                <c:pt idx="89">
                  <c:v>EMITTER_40</c:v>
                </c:pt>
                <c:pt idx="90">
                  <c:v>EMITTER_40</c:v>
                </c:pt>
                <c:pt idx="91">
                  <c:v>EMITTER_41</c:v>
                </c:pt>
                <c:pt idx="92">
                  <c:v>EMITTER_42</c:v>
                </c:pt>
                <c:pt idx="93">
                  <c:v>EMITTER_42</c:v>
                </c:pt>
                <c:pt idx="94">
                  <c:v>EMITTER_42</c:v>
                </c:pt>
                <c:pt idx="95">
                  <c:v>EMITTER_43</c:v>
                </c:pt>
                <c:pt idx="96">
                  <c:v>EMITTER_43</c:v>
                </c:pt>
                <c:pt idx="97">
                  <c:v>EMITTER_43</c:v>
                </c:pt>
                <c:pt idx="98">
                  <c:v>EMITTER_43</c:v>
                </c:pt>
                <c:pt idx="99">
                  <c:v>EMITTER_44</c:v>
                </c:pt>
                <c:pt idx="100">
                  <c:v>EMITTER_44</c:v>
                </c:pt>
                <c:pt idx="101">
                  <c:v>EMITTER_45</c:v>
                </c:pt>
                <c:pt idx="102">
                  <c:v>EMITTER_45</c:v>
                </c:pt>
                <c:pt idx="103">
                  <c:v>EMITTER_46</c:v>
                </c:pt>
                <c:pt idx="104">
                  <c:v>EMITTER_47</c:v>
                </c:pt>
                <c:pt idx="105">
                  <c:v>EMITTER_48</c:v>
                </c:pt>
                <c:pt idx="106">
                  <c:v>EMITTER_48</c:v>
                </c:pt>
                <c:pt idx="107">
                  <c:v>EMITTER_48</c:v>
                </c:pt>
                <c:pt idx="108">
                  <c:v>EMITTER_49</c:v>
                </c:pt>
                <c:pt idx="109">
                  <c:v>EMITTER_50</c:v>
                </c:pt>
                <c:pt idx="110">
                  <c:v>EMITTER_50</c:v>
                </c:pt>
                <c:pt idx="111">
                  <c:v>EMITTER_50</c:v>
                </c:pt>
              </c:strCache>
            </c:strRef>
          </c:cat>
          <c:val>
            <c:numRef>
              <c:f>'[1]MHP Emulator Emitter List'!$K$2:$K$113</c:f>
              <c:numCache>
                <c:formatCode>General</c:formatCode>
                <c:ptCount val="112"/>
                <c:pt idx="0">
                  <c:v>100</c:v>
                </c:pt>
                <c:pt idx="1">
                  <c:v>100</c:v>
                </c:pt>
                <c:pt idx="2">
                  <c:v>50</c:v>
                </c:pt>
                <c:pt idx="3">
                  <c:v>100</c:v>
                </c:pt>
                <c:pt idx="4">
                  <c:v>50</c:v>
                </c:pt>
                <c:pt idx="5">
                  <c:v>50</c:v>
                </c:pt>
                <c:pt idx="6">
                  <c:v>50</c:v>
                </c:pt>
                <c:pt idx="7">
                  <c:v>50</c:v>
                </c:pt>
                <c:pt idx="8">
                  <c:v>50</c:v>
                </c:pt>
                <c:pt idx="9">
                  <c:v>75</c:v>
                </c:pt>
                <c:pt idx="10">
                  <c:v>50</c:v>
                </c:pt>
                <c:pt idx="11">
                  <c:v>49</c:v>
                </c:pt>
                <c:pt idx="12">
                  <c:v>50</c:v>
                </c:pt>
                <c:pt idx="13">
                  <c:v>200</c:v>
                </c:pt>
                <c:pt idx="14">
                  <c:v>100</c:v>
                </c:pt>
                <c:pt idx="15">
                  <c:v>90</c:v>
                </c:pt>
                <c:pt idx="16">
                  <c:v>500</c:v>
                </c:pt>
                <c:pt idx="17">
                  <c:v>240</c:v>
                </c:pt>
                <c:pt idx="18">
                  <c:v>500</c:v>
                </c:pt>
                <c:pt idx="19">
                  <c:v>200</c:v>
                </c:pt>
                <c:pt idx="20">
                  <c:v>200</c:v>
                </c:pt>
                <c:pt idx="21">
                  <c:v>10</c:v>
                </c:pt>
                <c:pt idx="22">
                  <c:v>200</c:v>
                </c:pt>
                <c:pt idx="23">
                  <c:v>200</c:v>
                </c:pt>
                <c:pt idx="24">
                  <c:v>80</c:v>
                </c:pt>
                <c:pt idx="25">
                  <c:v>230</c:v>
                </c:pt>
                <c:pt idx="26">
                  <c:v>10</c:v>
                </c:pt>
                <c:pt idx="27">
                  <c:v>150</c:v>
                </c:pt>
                <c:pt idx="28">
                  <c:v>50</c:v>
                </c:pt>
                <c:pt idx="29">
                  <c:v>50</c:v>
                </c:pt>
                <c:pt idx="30">
                  <c:v>50</c:v>
                </c:pt>
                <c:pt idx="31">
                  <c:v>50</c:v>
                </c:pt>
                <c:pt idx="32">
                  <c:v>200</c:v>
                </c:pt>
                <c:pt idx="33">
                  <c:v>200</c:v>
                </c:pt>
                <c:pt idx="34">
                  <c:v>200</c:v>
                </c:pt>
                <c:pt idx="35">
                  <c:v>200</c:v>
                </c:pt>
                <c:pt idx="36">
                  <c:v>200</c:v>
                </c:pt>
                <c:pt idx="37">
                  <c:v>200</c:v>
                </c:pt>
                <c:pt idx="38">
                  <c:v>200</c:v>
                </c:pt>
                <c:pt idx="39">
                  <c:v>200</c:v>
                </c:pt>
                <c:pt idx="40">
                  <c:v>500</c:v>
                </c:pt>
                <c:pt idx="41">
                  <c:v>500</c:v>
                </c:pt>
                <c:pt idx="42">
                  <c:v>500</c:v>
                </c:pt>
                <c:pt idx="43">
                  <c:v>50</c:v>
                </c:pt>
                <c:pt idx="44">
                  <c:v>30</c:v>
                </c:pt>
                <c:pt idx="45">
                  <c:v>167</c:v>
                </c:pt>
                <c:pt idx="46">
                  <c:v>200</c:v>
                </c:pt>
                <c:pt idx="47">
                  <c:v>200</c:v>
                </c:pt>
                <c:pt idx="48">
                  <c:v>100</c:v>
                </c:pt>
                <c:pt idx="49">
                  <c:v>100</c:v>
                </c:pt>
                <c:pt idx="50">
                  <c:v>100</c:v>
                </c:pt>
                <c:pt idx="51">
                  <c:v>200</c:v>
                </c:pt>
                <c:pt idx="52">
                  <c:v>50</c:v>
                </c:pt>
                <c:pt idx="53">
                  <c:v>1</c:v>
                </c:pt>
                <c:pt idx="54">
                  <c:v>2</c:v>
                </c:pt>
                <c:pt idx="55">
                  <c:v>2</c:v>
                </c:pt>
                <c:pt idx="56">
                  <c:v>2</c:v>
                </c:pt>
                <c:pt idx="57">
                  <c:v>2</c:v>
                </c:pt>
                <c:pt idx="58">
                  <c:v>2</c:v>
                </c:pt>
                <c:pt idx="59">
                  <c:v>50</c:v>
                </c:pt>
                <c:pt idx="60">
                  <c:v>50</c:v>
                </c:pt>
                <c:pt idx="61">
                  <c:v>50</c:v>
                </c:pt>
                <c:pt idx="62">
                  <c:v>50</c:v>
                </c:pt>
                <c:pt idx="63">
                  <c:v>50</c:v>
                </c:pt>
                <c:pt idx="64">
                  <c:v>0</c:v>
                </c:pt>
                <c:pt idx="65">
                  <c:v>220</c:v>
                </c:pt>
                <c:pt idx="66">
                  <c:v>100</c:v>
                </c:pt>
                <c:pt idx="67">
                  <c:v>100</c:v>
                </c:pt>
                <c:pt idx="68">
                  <c:v>100</c:v>
                </c:pt>
                <c:pt idx="69">
                  <c:v>50</c:v>
                </c:pt>
                <c:pt idx="70">
                  <c:v>50</c:v>
                </c:pt>
                <c:pt idx="71">
                  <c:v>50</c:v>
                </c:pt>
                <c:pt idx="72">
                  <c:v>100</c:v>
                </c:pt>
                <c:pt idx="73">
                  <c:v>200</c:v>
                </c:pt>
                <c:pt idx="74">
                  <c:v>78</c:v>
                </c:pt>
                <c:pt idx="75">
                  <c:v>100</c:v>
                </c:pt>
                <c:pt idx="76">
                  <c:v>100</c:v>
                </c:pt>
                <c:pt idx="77">
                  <c:v>50</c:v>
                </c:pt>
                <c:pt idx="78">
                  <c:v>50</c:v>
                </c:pt>
                <c:pt idx="79">
                  <c:v>200</c:v>
                </c:pt>
                <c:pt idx="80">
                  <c:v>50</c:v>
                </c:pt>
                <c:pt idx="81">
                  <c:v>50</c:v>
                </c:pt>
                <c:pt idx="82">
                  <c:v>50</c:v>
                </c:pt>
                <c:pt idx="83">
                  <c:v>50</c:v>
                </c:pt>
                <c:pt idx="84">
                  <c:v>50</c:v>
                </c:pt>
                <c:pt idx="85">
                  <c:v>50</c:v>
                </c:pt>
                <c:pt idx="86">
                  <c:v>50</c:v>
                </c:pt>
                <c:pt idx="87">
                  <c:v>60</c:v>
                </c:pt>
                <c:pt idx="88">
                  <c:v>60</c:v>
                </c:pt>
                <c:pt idx="89">
                  <c:v>60</c:v>
                </c:pt>
                <c:pt idx="90">
                  <c:v>60</c:v>
                </c:pt>
                <c:pt idx="91">
                  <c:v>59</c:v>
                </c:pt>
                <c:pt idx="92">
                  <c:v>10</c:v>
                </c:pt>
                <c:pt idx="93">
                  <c:v>50</c:v>
                </c:pt>
                <c:pt idx="94">
                  <c:v>100</c:v>
                </c:pt>
                <c:pt idx="95">
                  <c:v>50</c:v>
                </c:pt>
                <c:pt idx="96">
                  <c:v>50</c:v>
                </c:pt>
                <c:pt idx="97">
                  <c:v>22</c:v>
                </c:pt>
                <c:pt idx="98">
                  <c:v>22</c:v>
                </c:pt>
                <c:pt idx="99">
                  <c:v>100</c:v>
                </c:pt>
                <c:pt idx="100">
                  <c:v>200</c:v>
                </c:pt>
                <c:pt idx="101">
                  <c:v>86</c:v>
                </c:pt>
                <c:pt idx="102">
                  <c:v>86</c:v>
                </c:pt>
                <c:pt idx="103">
                  <c:v>0</c:v>
                </c:pt>
                <c:pt idx="104">
                  <c:v>60</c:v>
                </c:pt>
                <c:pt idx="105">
                  <c:v>200</c:v>
                </c:pt>
                <c:pt idx="106">
                  <c:v>200</c:v>
                </c:pt>
                <c:pt idx="107">
                  <c:v>50</c:v>
                </c:pt>
                <c:pt idx="108">
                  <c:v>100</c:v>
                </c:pt>
                <c:pt idx="109">
                  <c:v>100</c:v>
                </c:pt>
                <c:pt idx="110">
                  <c:v>100</c:v>
                </c:pt>
                <c:pt idx="111">
                  <c:v>100</c:v>
                </c:pt>
              </c:numCache>
            </c:numRef>
          </c:val>
          <c:extLst>
            <c:ext xmlns:c16="http://schemas.microsoft.com/office/drawing/2014/chart" uri="{C3380CC4-5D6E-409C-BE32-E72D297353CC}">
              <c16:uniqueId val="{00000001-DB1C-4382-98EE-7CB22D71B908}"/>
            </c:ext>
          </c:extLst>
        </c:ser>
        <c:dLbls>
          <c:showLegendKey val="0"/>
          <c:showVal val="0"/>
          <c:showCatName val="0"/>
          <c:showSerName val="0"/>
          <c:showPercent val="0"/>
          <c:showBubbleSize val="0"/>
        </c:dLbls>
        <c:gapWidth val="55"/>
        <c:gapDepth val="55"/>
        <c:shape val="box"/>
        <c:axId val="1723939423"/>
        <c:axId val="1"/>
        <c:axId val="0"/>
      </c:bar3DChart>
      <c:catAx>
        <c:axId val="1723939423"/>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CA"/>
                  <a:t>Emitter ID</a:t>
                </a:r>
              </a:p>
            </c:rich>
          </c:tx>
          <c:overlay val="0"/>
          <c:spPr>
            <a:noFill/>
            <a:ln w="25400">
              <a:noFill/>
            </a:ln>
          </c:spPr>
        </c:title>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b"/>
        <c:majorGridlines/>
        <c:title>
          <c:tx>
            <c:rich>
              <a:bodyPr/>
              <a:lstStyle/>
              <a:p>
                <a:pPr>
                  <a:defRPr sz="1000" b="1" i="0" u="none" strike="noStrike" baseline="0">
                    <a:solidFill>
                      <a:srgbClr val="000000"/>
                    </a:solidFill>
                    <a:latin typeface="Calibri"/>
                    <a:ea typeface="Calibri"/>
                    <a:cs typeface="Calibri"/>
                  </a:defRPr>
                </a:pPr>
                <a:r>
                  <a:rPr lang="en-CA"/>
                  <a:t>FREQUENCY (MHz)</a:t>
                </a:r>
              </a:p>
            </c:rich>
          </c:tx>
          <c:overlay val="0"/>
          <c:spPr>
            <a:noFill/>
            <a:ln w="25400">
              <a:noFill/>
            </a:ln>
          </c:spPr>
        </c:title>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23939423"/>
        <c:crosses val="autoZero"/>
        <c:crossBetween val="between"/>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22" l="0.70000000000000018" r="0.70000000000000018" t="0.75000000000000022" header="0.3000000000000001" footer="0.3000000000000001"/>
    <c:pageSetup paperSize="17"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Calibri"/>
              <a:ea typeface="Calibri"/>
              <a:cs typeface="Calibri"/>
            </a:defRPr>
          </a:pPr>
          <a:endParaRPr lang="en-US"/>
        </a:p>
      </c:txPr>
    </c:title>
    <c:autoTitleDeleted val="0"/>
    <c:view3D>
      <c:rotX val="15"/>
      <c:rotY val="20"/>
      <c:depthPercent val="100"/>
      <c:rAngAx val="1"/>
    </c:view3D>
    <c:floor>
      <c:thickness val="0"/>
    </c:floor>
    <c:sideWall>
      <c:thickness val="0"/>
    </c:sideWall>
    <c:backWall>
      <c:thickness val="0"/>
    </c:backWall>
    <c:plotArea>
      <c:layout/>
      <c:bar3DChart>
        <c:barDir val="bar"/>
        <c:grouping val="stacked"/>
        <c:varyColors val="0"/>
        <c:ser>
          <c:idx val="0"/>
          <c:order val="0"/>
          <c:tx>
            <c:strRef>
              <c:f>'MHP Emulator Emitter List'!$L$1</c:f>
              <c:strCache>
                <c:ptCount val="1"/>
                <c:pt idx="0">
                  <c:v>FREQ_LOW</c:v>
                </c:pt>
              </c:strCache>
            </c:strRef>
          </c:tx>
          <c:spPr>
            <a:noFill/>
            <a:ln>
              <a:noFill/>
            </a:ln>
          </c:spPr>
          <c:invertIfNegative val="0"/>
          <c:val>
            <c:numRef>
              <c:f>'MHP Emulator Emitter List'!$L$2:$L$116</c:f>
              <c:numCache>
                <c:formatCode>General</c:formatCode>
                <c:ptCount val="115"/>
                <c:pt idx="0">
                  <c:v>8000</c:v>
                </c:pt>
                <c:pt idx="1">
                  <c:v>8000</c:v>
                </c:pt>
                <c:pt idx="2">
                  <c:v>4600</c:v>
                </c:pt>
                <c:pt idx="3">
                  <c:v>9200</c:v>
                </c:pt>
                <c:pt idx="4">
                  <c:v>9900</c:v>
                </c:pt>
                <c:pt idx="5">
                  <c:v>9900</c:v>
                </c:pt>
                <c:pt idx="6">
                  <c:v>9900</c:v>
                </c:pt>
                <c:pt idx="7">
                  <c:v>2200</c:v>
                </c:pt>
                <c:pt idx="8">
                  <c:v>2200</c:v>
                </c:pt>
                <c:pt idx="9">
                  <c:v>1225</c:v>
                </c:pt>
                <c:pt idx="10">
                  <c:v>2500</c:v>
                </c:pt>
                <c:pt idx="11">
                  <c:v>2700</c:v>
                </c:pt>
                <c:pt idx="12">
                  <c:v>8000</c:v>
                </c:pt>
                <c:pt idx="13">
                  <c:v>5500</c:v>
                </c:pt>
                <c:pt idx="14">
                  <c:v>5700</c:v>
                </c:pt>
                <c:pt idx="15">
                  <c:v>5810</c:v>
                </c:pt>
                <c:pt idx="16">
                  <c:v>7500</c:v>
                </c:pt>
                <c:pt idx="17">
                  <c:v>7500</c:v>
                </c:pt>
                <c:pt idx="18">
                  <c:v>15000</c:v>
                </c:pt>
                <c:pt idx="19">
                  <c:v>7000</c:v>
                </c:pt>
                <c:pt idx="20">
                  <c:v>12000</c:v>
                </c:pt>
                <c:pt idx="21">
                  <c:v>15000</c:v>
                </c:pt>
                <c:pt idx="22">
                  <c:v>16000</c:v>
                </c:pt>
                <c:pt idx="23">
                  <c:v>16000</c:v>
                </c:pt>
                <c:pt idx="24">
                  <c:v>2100</c:v>
                </c:pt>
                <c:pt idx="25">
                  <c:v>2180</c:v>
                </c:pt>
                <c:pt idx="26">
                  <c:v>14511</c:v>
                </c:pt>
                <c:pt idx="27">
                  <c:v>2800</c:v>
                </c:pt>
                <c:pt idx="28">
                  <c:v>2900</c:v>
                </c:pt>
                <c:pt idx="29">
                  <c:v>3000</c:v>
                </c:pt>
                <c:pt idx="30">
                  <c:v>4500</c:v>
                </c:pt>
                <c:pt idx="31">
                  <c:v>4600</c:v>
                </c:pt>
                <c:pt idx="32">
                  <c:v>9000</c:v>
                </c:pt>
                <c:pt idx="33">
                  <c:v>10600</c:v>
                </c:pt>
                <c:pt idx="34">
                  <c:v>13500</c:v>
                </c:pt>
                <c:pt idx="35">
                  <c:v>28100</c:v>
                </c:pt>
                <c:pt idx="36">
                  <c:v>28100</c:v>
                </c:pt>
                <c:pt idx="37">
                  <c:v>28100</c:v>
                </c:pt>
                <c:pt idx="38">
                  <c:v>28100</c:v>
                </c:pt>
                <c:pt idx="39">
                  <c:v>13000</c:v>
                </c:pt>
                <c:pt idx="40">
                  <c:v>9000</c:v>
                </c:pt>
                <c:pt idx="41">
                  <c:v>9000</c:v>
                </c:pt>
                <c:pt idx="42">
                  <c:v>9000</c:v>
                </c:pt>
                <c:pt idx="43">
                  <c:v>3700</c:v>
                </c:pt>
                <c:pt idx="44">
                  <c:v>3770</c:v>
                </c:pt>
                <c:pt idx="45">
                  <c:v>2111</c:v>
                </c:pt>
                <c:pt idx="46">
                  <c:v>6000</c:v>
                </c:pt>
                <c:pt idx="47">
                  <c:v>6000</c:v>
                </c:pt>
                <c:pt idx="48">
                  <c:v>5000</c:v>
                </c:pt>
                <c:pt idx="49">
                  <c:v>5000</c:v>
                </c:pt>
                <c:pt idx="50">
                  <c:v>5000</c:v>
                </c:pt>
                <c:pt idx="51">
                  <c:v>8000</c:v>
                </c:pt>
                <c:pt idx="52">
                  <c:v>2500</c:v>
                </c:pt>
                <c:pt idx="53">
                  <c:v>4550</c:v>
                </c:pt>
                <c:pt idx="54">
                  <c:v>4588</c:v>
                </c:pt>
                <c:pt idx="55">
                  <c:v>4620</c:v>
                </c:pt>
                <c:pt idx="56">
                  <c:v>4720</c:v>
                </c:pt>
                <c:pt idx="57">
                  <c:v>4788</c:v>
                </c:pt>
                <c:pt idx="58">
                  <c:v>4818</c:v>
                </c:pt>
                <c:pt idx="59">
                  <c:v>4900</c:v>
                </c:pt>
                <c:pt idx="60">
                  <c:v>4960</c:v>
                </c:pt>
                <c:pt idx="61">
                  <c:v>700</c:v>
                </c:pt>
                <c:pt idx="62">
                  <c:v>5000</c:v>
                </c:pt>
                <c:pt idx="63">
                  <c:v>5100</c:v>
                </c:pt>
                <c:pt idx="64">
                  <c:v>5100</c:v>
                </c:pt>
                <c:pt idx="65">
                  <c:v>2000</c:v>
                </c:pt>
                <c:pt idx="66">
                  <c:v>6700</c:v>
                </c:pt>
                <c:pt idx="67">
                  <c:v>4600</c:v>
                </c:pt>
                <c:pt idx="68">
                  <c:v>4600</c:v>
                </c:pt>
                <c:pt idx="69">
                  <c:v>5000</c:v>
                </c:pt>
                <c:pt idx="70">
                  <c:v>5100</c:v>
                </c:pt>
                <c:pt idx="71">
                  <c:v>4600</c:v>
                </c:pt>
                <c:pt idx="72">
                  <c:v>800</c:v>
                </c:pt>
                <c:pt idx="73">
                  <c:v>1200</c:v>
                </c:pt>
                <c:pt idx="74">
                  <c:v>16500</c:v>
                </c:pt>
                <c:pt idx="75">
                  <c:v>17011</c:v>
                </c:pt>
                <c:pt idx="76">
                  <c:v>3000</c:v>
                </c:pt>
                <c:pt idx="77">
                  <c:v>3100</c:v>
                </c:pt>
                <c:pt idx="78">
                  <c:v>3900</c:v>
                </c:pt>
                <c:pt idx="79">
                  <c:v>8800</c:v>
                </c:pt>
                <c:pt idx="80">
                  <c:v>2700</c:v>
                </c:pt>
                <c:pt idx="81">
                  <c:v>5000</c:v>
                </c:pt>
                <c:pt idx="82">
                  <c:v>850</c:v>
                </c:pt>
                <c:pt idx="83">
                  <c:v>2700</c:v>
                </c:pt>
                <c:pt idx="84">
                  <c:v>2700</c:v>
                </c:pt>
                <c:pt idx="85">
                  <c:v>2700</c:v>
                </c:pt>
                <c:pt idx="86">
                  <c:v>2700</c:v>
                </c:pt>
                <c:pt idx="87">
                  <c:v>4600</c:v>
                </c:pt>
                <c:pt idx="88">
                  <c:v>4600</c:v>
                </c:pt>
                <c:pt idx="89">
                  <c:v>4600</c:v>
                </c:pt>
                <c:pt idx="90">
                  <c:v>4600</c:v>
                </c:pt>
                <c:pt idx="91">
                  <c:v>9000</c:v>
                </c:pt>
                <c:pt idx="92">
                  <c:v>6000</c:v>
                </c:pt>
                <c:pt idx="93">
                  <c:v>7000</c:v>
                </c:pt>
                <c:pt idx="94">
                  <c:v>9800</c:v>
                </c:pt>
                <c:pt idx="95">
                  <c:v>888</c:v>
                </c:pt>
                <c:pt idx="96">
                  <c:v>888</c:v>
                </c:pt>
                <c:pt idx="97">
                  <c:v>5700</c:v>
                </c:pt>
                <c:pt idx="98">
                  <c:v>5800</c:v>
                </c:pt>
                <c:pt idx="99">
                  <c:v>13200</c:v>
                </c:pt>
                <c:pt idx="100">
                  <c:v>16500</c:v>
                </c:pt>
                <c:pt idx="101">
                  <c:v>2111</c:v>
                </c:pt>
                <c:pt idx="102">
                  <c:v>2111</c:v>
                </c:pt>
                <c:pt idx="103">
                  <c:v>13000</c:v>
                </c:pt>
                <c:pt idx="104">
                  <c:v>2600</c:v>
                </c:pt>
                <c:pt idx="105">
                  <c:v>1200</c:v>
                </c:pt>
                <c:pt idx="106">
                  <c:v>8800</c:v>
                </c:pt>
                <c:pt idx="107">
                  <c:v>8800</c:v>
                </c:pt>
                <c:pt idx="108">
                  <c:v>8000</c:v>
                </c:pt>
                <c:pt idx="109">
                  <c:v>7100</c:v>
                </c:pt>
                <c:pt idx="110">
                  <c:v>7100</c:v>
                </c:pt>
                <c:pt idx="111">
                  <c:v>7300</c:v>
                </c:pt>
                <c:pt idx="112">
                  <c:v>7500</c:v>
                </c:pt>
                <c:pt idx="113">
                  <c:v>990</c:v>
                </c:pt>
                <c:pt idx="114">
                  <c:v>29100</c:v>
                </c:pt>
              </c:numCache>
            </c:numRef>
          </c:val>
          <c:extLst>
            <c:ext xmlns:c16="http://schemas.microsoft.com/office/drawing/2014/chart" uri="{C3380CC4-5D6E-409C-BE32-E72D297353CC}">
              <c16:uniqueId val="{00000000-0A1F-4150-AEAD-B5268B8E4041}"/>
            </c:ext>
          </c:extLst>
        </c:ser>
        <c:ser>
          <c:idx val="1"/>
          <c:order val="1"/>
          <c:tx>
            <c:strRef>
              <c:f>'MHP Emulator Emitter List'!$M$1</c:f>
              <c:strCache>
                <c:ptCount val="1"/>
                <c:pt idx="0">
                  <c:v>FREQ_HIGH</c:v>
                </c:pt>
              </c:strCache>
            </c:strRef>
          </c:tx>
          <c:invertIfNegative val="0"/>
          <c:val>
            <c:numRef>
              <c:f>'MHP Emulator Emitter List'!$O$2:$O$116</c:f>
              <c:numCache>
                <c:formatCode>General</c:formatCode>
                <c:ptCount val="115"/>
                <c:pt idx="0">
                  <c:v>100</c:v>
                </c:pt>
                <c:pt idx="1">
                  <c:v>100</c:v>
                </c:pt>
                <c:pt idx="2">
                  <c:v>50</c:v>
                </c:pt>
                <c:pt idx="3">
                  <c:v>100</c:v>
                </c:pt>
                <c:pt idx="4">
                  <c:v>50</c:v>
                </c:pt>
                <c:pt idx="5">
                  <c:v>50</c:v>
                </c:pt>
                <c:pt idx="6">
                  <c:v>50</c:v>
                </c:pt>
                <c:pt idx="7">
                  <c:v>50</c:v>
                </c:pt>
                <c:pt idx="8">
                  <c:v>355</c:v>
                </c:pt>
                <c:pt idx="9">
                  <c:v>75</c:v>
                </c:pt>
                <c:pt idx="10">
                  <c:v>50</c:v>
                </c:pt>
                <c:pt idx="11">
                  <c:v>49</c:v>
                </c:pt>
                <c:pt idx="12">
                  <c:v>50</c:v>
                </c:pt>
                <c:pt idx="13">
                  <c:v>200</c:v>
                </c:pt>
                <c:pt idx="14">
                  <c:v>100</c:v>
                </c:pt>
                <c:pt idx="15">
                  <c:v>90</c:v>
                </c:pt>
                <c:pt idx="16">
                  <c:v>500</c:v>
                </c:pt>
                <c:pt idx="17">
                  <c:v>500</c:v>
                </c:pt>
                <c:pt idx="18">
                  <c:v>240</c:v>
                </c:pt>
                <c:pt idx="19">
                  <c:v>200</c:v>
                </c:pt>
                <c:pt idx="20">
                  <c:v>10</c:v>
                </c:pt>
                <c:pt idx="21">
                  <c:v>200</c:v>
                </c:pt>
                <c:pt idx="22">
                  <c:v>200</c:v>
                </c:pt>
                <c:pt idx="23">
                  <c:v>200</c:v>
                </c:pt>
                <c:pt idx="24">
                  <c:v>80</c:v>
                </c:pt>
                <c:pt idx="25">
                  <c:v>10</c:v>
                </c:pt>
                <c:pt idx="26">
                  <c:v>230</c:v>
                </c:pt>
                <c:pt idx="27">
                  <c:v>50</c:v>
                </c:pt>
                <c:pt idx="28">
                  <c:v>50</c:v>
                </c:pt>
                <c:pt idx="29">
                  <c:v>150</c:v>
                </c:pt>
                <c:pt idx="30">
                  <c:v>50</c:v>
                </c:pt>
                <c:pt idx="31">
                  <c:v>50</c:v>
                </c:pt>
                <c:pt idx="32">
                  <c:v>200</c:v>
                </c:pt>
                <c:pt idx="33">
                  <c:v>200</c:v>
                </c:pt>
                <c:pt idx="34">
                  <c:v>200</c:v>
                </c:pt>
                <c:pt idx="35">
                  <c:v>200</c:v>
                </c:pt>
                <c:pt idx="36">
                  <c:v>200</c:v>
                </c:pt>
                <c:pt idx="37">
                  <c:v>200</c:v>
                </c:pt>
                <c:pt idx="38">
                  <c:v>200</c:v>
                </c:pt>
                <c:pt idx="39">
                  <c:v>200</c:v>
                </c:pt>
                <c:pt idx="40">
                  <c:v>500</c:v>
                </c:pt>
                <c:pt idx="41">
                  <c:v>500</c:v>
                </c:pt>
                <c:pt idx="42">
                  <c:v>500</c:v>
                </c:pt>
                <c:pt idx="43">
                  <c:v>50</c:v>
                </c:pt>
                <c:pt idx="44">
                  <c:v>30</c:v>
                </c:pt>
                <c:pt idx="45">
                  <c:v>167</c:v>
                </c:pt>
                <c:pt idx="46">
                  <c:v>200</c:v>
                </c:pt>
                <c:pt idx="47">
                  <c:v>200</c:v>
                </c:pt>
                <c:pt idx="48">
                  <c:v>100</c:v>
                </c:pt>
                <c:pt idx="49">
                  <c:v>100</c:v>
                </c:pt>
                <c:pt idx="50">
                  <c:v>100</c:v>
                </c:pt>
                <c:pt idx="51">
                  <c:v>200</c:v>
                </c:pt>
                <c:pt idx="52">
                  <c:v>50</c:v>
                </c:pt>
                <c:pt idx="53">
                  <c:v>1</c:v>
                </c:pt>
                <c:pt idx="54">
                  <c:v>2</c:v>
                </c:pt>
                <c:pt idx="55">
                  <c:v>2</c:v>
                </c:pt>
                <c:pt idx="56">
                  <c:v>2</c:v>
                </c:pt>
                <c:pt idx="57">
                  <c:v>2</c:v>
                </c:pt>
                <c:pt idx="58">
                  <c:v>2</c:v>
                </c:pt>
                <c:pt idx="59">
                  <c:v>50</c:v>
                </c:pt>
                <c:pt idx="60">
                  <c:v>50</c:v>
                </c:pt>
                <c:pt idx="61">
                  <c:v>0</c:v>
                </c:pt>
                <c:pt idx="62">
                  <c:v>50</c:v>
                </c:pt>
                <c:pt idx="63">
                  <c:v>50</c:v>
                </c:pt>
                <c:pt idx="64">
                  <c:v>50</c:v>
                </c:pt>
                <c:pt idx="65">
                  <c:v>220</c:v>
                </c:pt>
                <c:pt idx="66">
                  <c:v>100</c:v>
                </c:pt>
                <c:pt idx="67">
                  <c:v>100</c:v>
                </c:pt>
                <c:pt idx="68">
                  <c:v>100</c:v>
                </c:pt>
                <c:pt idx="69">
                  <c:v>50</c:v>
                </c:pt>
                <c:pt idx="70">
                  <c:v>50</c:v>
                </c:pt>
                <c:pt idx="71">
                  <c:v>50</c:v>
                </c:pt>
                <c:pt idx="72">
                  <c:v>100</c:v>
                </c:pt>
                <c:pt idx="73">
                  <c:v>200</c:v>
                </c:pt>
                <c:pt idx="74">
                  <c:v>100</c:v>
                </c:pt>
                <c:pt idx="75">
                  <c:v>78</c:v>
                </c:pt>
                <c:pt idx="76">
                  <c:v>100</c:v>
                </c:pt>
                <c:pt idx="77">
                  <c:v>50</c:v>
                </c:pt>
                <c:pt idx="78">
                  <c:v>50</c:v>
                </c:pt>
                <c:pt idx="79">
                  <c:v>200</c:v>
                </c:pt>
                <c:pt idx="80">
                  <c:v>50</c:v>
                </c:pt>
                <c:pt idx="81">
                  <c:v>50</c:v>
                </c:pt>
                <c:pt idx="82">
                  <c:v>50</c:v>
                </c:pt>
                <c:pt idx="83">
                  <c:v>50</c:v>
                </c:pt>
                <c:pt idx="84">
                  <c:v>50</c:v>
                </c:pt>
                <c:pt idx="85">
                  <c:v>50</c:v>
                </c:pt>
                <c:pt idx="86">
                  <c:v>50</c:v>
                </c:pt>
                <c:pt idx="87">
                  <c:v>60</c:v>
                </c:pt>
                <c:pt idx="88">
                  <c:v>60</c:v>
                </c:pt>
                <c:pt idx="89">
                  <c:v>60</c:v>
                </c:pt>
                <c:pt idx="90">
                  <c:v>60</c:v>
                </c:pt>
                <c:pt idx="91">
                  <c:v>59</c:v>
                </c:pt>
                <c:pt idx="92">
                  <c:v>10</c:v>
                </c:pt>
                <c:pt idx="93">
                  <c:v>50</c:v>
                </c:pt>
                <c:pt idx="94">
                  <c:v>100</c:v>
                </c:pt>
                <c:pt idx="95">
                  <c:v>22</c:v>
                </c:pt>
                <c:pt idx="96">
                  <c:v>22</c:v>
                </c:pt>
                <c:pt idx="97">
                  <c:v>50</c:v>
                </c:pt>
                <c:pt idx="98">
                  <c:v>50</c:v>
                </c:pt>
                <c:pt idx="99">
                  <c:v>200</c:v>
                </c:pt>
                <c:pt idx="100">
                  <c:v>100</c:v>
                </c:pt>
                <c:pt idx="101">
                  <c:v>86</c:v>
                </c:pt>
                <c:pt idx="102">
                  <c:v>86</c:v>
                </c:pt>
                <c:pt idx="103">
                  <c:v>0</c:v>
                </c:pt>
                <c:pt idx="104">
                  <c:v>60</c:v>
                </c:pt>
                <c:pt idx="105">
                  <c:v>50</c:v>
                </c:pt>
                <c:pt idx="106">
                  <c:v>200</c:v>
                </c:pt>
                <c:pt idx="107">
                  <c:v>200</c:v>
                </c:pt>
                <c:pt idx="108">
                  <c:v>100</c:v>
                </c:pt>
                <c:pt idx="109">
                  <c:v>100</c:v>
                </c:pt>
                <c:pt idx="110">
                  <c:v>100</c:v>
                </c:pt>
                <c:pt idx="111">
                  <c:v>100</c:v>
                </c:pt>
                <c:pt idx="112">
                  <c:v>100</c:v>
                </c:pt>
                <c:pt idx="113">
                  <c:v>100</c:v>
                </c:pt>
                <c:pt idx="114">
                  <c:v>200</c:v>
                </c:pt>
              </c:numCache>
            </c:numRef>
          </c:val>
          <c:extLst>
            <c:ext xmlns:c16="http://schemas.microsoft.com/office/drawing/2014/chart" uri="{C3380CC4-5D6E-409C-BE32-E72D297353CC}">
              <c16:uniqueId val="{00000001-0A1F-4150-AEAD-B5268B8E4041}"/>
            </c:ext>
          </c:extLst>
        </c:ser>
        <c:dLbls>
          <c:showLegendKey val="0"/>
          <c:showVal val="0"/>
          <c:showCatName val="0"/>
          <c:showSerName val="0"/>
          <c:showPercent val="0"/>
          <c:showBubbleSize val="0"/>
        </c:dLbls>
        <c:gapWidth val="75"/>
        <c:shape val="box"/>
        <c:axId val="1629010351"/>
        <c:axId val="1"/>
        <c:axId val="0"/>
      </c:bar3DChart>
      <c:catAx>
        <c:axId val="1629010351"/>
        <c:scaling>
          <c:orientation val="minMax"/>
        </c:scaling>
        <c:delete val="0"/>
        <c:axPos val="l"/>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20000"/>
        </c:scaling>
        <c:delete val="0"/>
        <c:axPos val="b"/>
        <c:majorGridlines/>
        <c:numFmt formatCode="General" sourceLinked="1"/>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en-US"/>
          </a:p>
        </c:txPr>
        <c:crossAx val="1629010351"/>
        <c:crosses val="autoZero"/>
        <c:crossBetween val="between"/>
      </c:valAx>
      <c:spPr>
        <a:noFill/>
        <a:ln w="25400">
          <a:noFill/>
        </a:ln>
      </c:spPr>
    </c:plotArea>
    <c:legend>
      <c:legendPos val="b"/>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15</xdr:col>
      <xdr:colOff>400050</xdr:colOff>
      <xdr:row>40</xdr:row>
      <xdr:rowOff>57150</xdr:rowOff>
    </xdr:to>
    <xdr:graphicFrame macro="">
      <xdr:nvGraphicFramePr>
        <xdr:cNvPr id="374791" name="Chart 2">
          <a:extLst>
            <a:ext uri="{FF2B5EF4-FFF2-40B4-BE49-F238E27FC236}">
              <a16:creationId xmlns:a16="http://schemas.microsoft.com/office/drawing/2014/main" id="{F4BBD6FF-FC59-4104-890B-78F22E444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1</xdr:row>
      <xdr:rowOff>142875</xdr:rowOff>
    </xdr:from>
    <xdr:to>
      <xdr:col>18</xdr:col>
      <xdr:colOff>523875</xdr:colOff>
      <xdr:row>40</xdr:row>
      <xdr:rowOff>9525</xdr:rowOff>
    </xdr:to>
    <xdr:graphicFrame macro="">
      <xdr:nvGraphicFramePr>
        <xdr:cNvPr id="376839" name="Chart 4">
          <a:extLst>
            <a:ext uri="{FF2B5EF4-FFF2-40B4-BE49-F238E27FC236}">
              <a16:creationId xmlns:a16="http://schemas.microsoft.com/office/drawing/2014/main" id="{B9A2E02B-54C8-4BF1-A5A8-140AD2412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AppData/Local/Microsoft/Windows/INetCache/Content.Outlook/CA9PFM6J/MHP_Pax_Emitter_List_LM_MS2_1003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HP Emulator Emitter List"/>
      <sheetName val="LM MS2 Assumptions"/>
      <sheetName val="PRI Distribution"/>
      <sheetName val="PW Distribution"/>
      <sheetName val="Plot Data Sheet"/>
      <sheetName val="Freq Coverage"/>
      <sheetName val="PRI Coverage"/>
      <sheetName val="PW Coverage"/>
    </sheetNames>
    <sheetDataSet>
      <sheetData sheetId="0">
        <row r="1">
          <cell r="I1" t="str">
            <v xml:space="preserve">Freq_Min (MHz) </v>
          </cell>
          <cell r="J1" t="str">
            <v xml:space="preserve">Freq_Max (MHz) </v>
          </cell>
        </row>
        <row r="2">
          <cell r="B2" t="str">
            <v>EMITTER_1</v>
          </cell>
          <cell r="I2">
            <v>8000</v>
          </cell>
          <cell r="K2">
            <v>100</v>
          </cell>
        </row>
        <row r="3">
          <cell r="B3" t="str">
            <v>EMITTER_1</v>
          </cell>
          <cell r="I3">
            <v>8000</v>
          </cell>
          <cell r="K3">
            <v>100</v>
          </cell>
        </row>
        <row r="4">
          <cell r="B4" t="str">
            <v>EMITTER_2</v>
          </cell>
          <cell r="I4">
            <v>4600</v>
          </cell>
          <cell r="K4">
            <v>50</v>
          </cell>
        </row>
        <row r="5">
          <cell r="B5" t="str">
            <v>EMITTER_2</v>
          </cell>
          <cell r="I5">
            <v>9200</v>
          </cell>
          <cell r="K5">
            <v>100</v>
          </cell>
        </row>
        <row r="6">
          <cell r="B6" t="str">
            <v>EMITTER_3</v>
          </cell>
          <cell r="I6">
            <v>9900</v>
          </cell>
          <cell r="K6">
            <v>50</v>
          </cell>
        </row>
        <row r="7">
          <cell r="B7" t="str">
            <v>EMITTER_3</v>
          </cell>
          <cell r="I7">
            <v>9900</v>
          </cell>
          <cell r="K7">
            <v>50</v>
          </cell>
        </row>
        <row r="8">
          <cell r="B8" t="str">
            <v>EMITTER_3</v>
          </cell>
          <cell r="I8">
            <v>9900</v>
          </cell>
          <cell r="K8">
            <v>50</v>
          </cell>
        </row>
        <row r="9">
          <cell r="B9" t="str">
            <v>EMITTER_4</v>
          </cell>
          <cell r="I9">
            <v>2200</v>
          </cell>
          <cell r="K9">
            <v>50</v>
          </cell>
        </row>
        <row r="10">
          <cell r="B10" t="str">
            <v>EMITTER_4</v>
          </cell>
          <cell r="I10">
            <v>2200</v>
          </cell>
          <cell r="K10">
            <v>50</v>
          </cell>
        </row>
        <row r="11">
          <cell r="B11" t="str">
            <v>EMITTER_5</v>
          </cell>
          <cell r="I11">
            <v>1225</v>
          </cell>
          <cell r="K11">
            <v>75</v>
          </cell>
        </row>
        <row r="12">
          <cell r="B12" t="str">
            <v>EMITTER_6</v>
          </cell>
          <cell r="I12">
            <v>2500</v>
          </cell>
          <cell r="K12">
            <v>50</v>
          </cell>
        </row>
        <row r="13">
          <cell r="B13" t="str">
            <v>EMITTER_6</v>
          </cell>
          <cell r="I13">
            <v>2700</v>
          </cell>
          <cell r="K13">
            <v>49</v>
          </cell>
        </row>
        <row r="14">
          <cell r="B14" t="str">
            <v>EMITTER_7</v>
          </cell>
          <cell r="I14">
            <v>8000</v>
          </cell>
          <cell r="K14">
            <v>50</v>
          </cell>
        </row>
        <row r="15">
          <cell r="B15" t="str">
            <v>EMITTER_8</v>
          </cell>
          <cell r="I15">
            <v>5500</v>
          </cell>
          <cell r="K15">
            <v>200</v>
          </cell>
        </row>
        <row r="16">
          <cell r="B16" t="str">
            <v>EMITTER_8</v>
          </cell>
          <cell r="I16">
            <v>5700</v>
          </cell>
          <cell r="K16">
            <v>100</v>
          </cell>
        </row>
        <row r="17">
          <cell r="B17" t="str">
            <v>EMITTER_8</v>
          </cell>
          <cell r="I17">
            <v>5810</v>
          </cell>
          <cell r="K17">
            <v>90</v>
          </cell>
        </row>
        <row r="18">
          <cell r="B18" t="str">
            <v>EMITTER_9</v>
          </cell>
          <cell r="I18">
            <v>7500</v>
          </cell>
          <cell r="K18">
            <v>500</v>
          </cell>
        </row>
        <row r="19">
          <cell r="B19" t="str">
            <v>EMITTER_9</v>
          </cell>
          <cell r="I19">
            <v>15000</v>
          </cell>
          <cell r="K19">
            <v>240</v>
          </cell>
        </row>
        <row r="20">
          <cell r="B20" t="str">
            <v>EMITTER_9</v>
          </cell>
          <cell r="I20">
            <v>7500</v>
          </cell>
          <cell r="K20">
            <v>500</v>
          </cell>
        </row>
        <row r="21">
          <cell r="B21" t="str">
            <v>EMITTER_10</v>
          </cell>
          <cell r="I21">
            <v>7000</v>
          </cell>
          <cell r="K21">
            <v>200</v>
          </cell>
        </row>
        <row r="22">
          <cell r="B22" t="str">
            <v>EMITTER_10</v>
          </cell>
          <cell r="I22">
            <v>15000</v>
          </cell>
          <cell r="K22">
            <v>200</v>
          </cell>
        </row>
        <row r="23">
          <cell r="B23" t="str">
            <v>EMITTER_10</v>
          </cell>
          <cell r="I23">
            <v>12000</v>
          </cell>
          <cell r="K23">
            <v>10</v>
          </cell>
        </row>
        <row r="24">
          <cell r="B24" t="str">
            <v>EMITTER_11</v>
          </cell>
          <cell r="I24">
            <v>16000</v>
          </cell>
          <cell r="K24">
            <v>200</v>
          </cell>
        </row>
        <row r="25">
          <cell r="B25" t="str">
            <v>EMITTER_11</v>
          </cell>
          <cell r="I25">
            <v>16000</v>
          </cell>
          <cell r="K25">
            <v>200</v>
          </cell>
        </row>
        <row r="26">
          <cell r="B26" t="str">
            <v>EMITTER_12</v>
          </cell>
          <cell r="I26">
            <v>2100</v>
          </cell>
          <cell r="K26">
            <v>80</v>
          </cell>
        </row>
        <row r="27">
          <cell r="B27" t="str">
            <v>EMITTER_12</v>
          </cell>
          <cell r="I27">
            <v>14511</v>
          </cell>
          <cell r="K27">
            <v>230</v>
          </cell>
        </row>
        <row r="28">
          <cell r="B28" t="str">
            <v>EMITTER_12</v>
          </cell>
          <cell r="I28">
            <v>2180</v>
          </cell>
          <cell r="K28">
            <v>10</v>
          </cell>
        </row>
        <row r="29">
          <cell r="B29" t="str">
            <v>EMITTER_13</v>
          </cell>
          <cell r="I29">
            <v>3000</v>
          </cell>
          <cell r="K29">
            <v>150</v>
          </cell>
        </row>
        <row r="30">
          <cell r="B30" t="str">
            <v>EMITTER_13</v>
          </cell>
          <cell r="I30">
            <v>2900</v>
          </cell>
          <cell r="K30">
            <v>50</v>
          </cell>
        </row>
        <row r="31">
          <cell r="B31" t="str">
            <v>EMITTER_13</v>
          </cell>
          <cell r="I31">
            <v>2800</v>
          </cell>
          <cell r="K31">
            <v>50</v>
          </cell>
        </row>
        <row r="32">
          <cell r="B32" t="str">
            <v>EMITTER_14</v>
          </cell>
          <cell r="I32">
            <v>4500</v>
          </cell>
          <cell r="K32">
            <v>50</v>
          </cell>
        </row>
        <row r="33">
          <cell r="B33" t="str">
            <v>EMITTER_14</v>
          </cell>
          <cell r="I33">
            <v>4600</v>
          </cell>
          <cell r="K33">
            <v>50</v>
          </cell>
        </row>
        <row r="34">
          <cell r="B34" t="str">
            <v>EMITTER_15</v>
          </cell>
          <cell r="I34">
            <v>9000</v>
          </cell>
          <cell r="K34">
            <v>200</v>
          </cell>
        </row>
        <row r="35">
          <cell r="B35" t="str">
            <v>EMITTER_15</v>
          </cell>
          <cell r="I35">
            <v>10600</v>
          </cell>
          <cell r="K35">
            <v>200</v>
          </cell>
        </row>
        <row r="36">
          <cell r="B36" t="str">
            <v>EMITTER_15</v>
          </cell>
          <cell r="I36">
            <v>13500</v>
          </cell>
          <cell r="K36">
            <v>200</v>
          </cell>
        </row>
        <row r="37">
          <cell r="B37" t="str">
            <v>EMITTER_16</v>
          </cell>
          <cell r="I37" t="str">
            <v>28100
(LM 16100)</v>
          </cell>
          <cell r="K37">
            <v>200</v>
          </cell>
        </row>
        <row r="38">
          <cell r="B38" t="str">
            <v>EMITTER_16</v>
          </cell>
          <cell r="I38" t="str">
            <v>28100
(LM 16100)</v>
          </cell>
          <cell r="K38">
            <v>200</v>
          </cell>
        </row>
        <row r="39">
          <cell r="B39" t="str">
            <v>EMITTER_16</v>
          </cell>
          <cell r="I39" t="str">
            <v>28100
(LM 16100)</v>
          </cell>
          <cell r="K39">
            <v>200</v>
          </cell>
        </row>
        <row r="40">
          <cell r="B40" t="str">
            <v>EMITTER_16</v>
          </cell>
          <cell r="I40" t="str">
            <v>28100
(LM 16100)</v>
          </cell>
          <cell r="K40">
            <v>200</v>
          </cell>
        </row>
        <row r="41">
          <cell r="B41" t="str">
            <v>EMITTER_17</v>
          </cell>
          <cell r="I41">
            <v>13000</v>
          </cell>
          <cell r="K41">
            <v>200</v>
          </cell>
        </row>
        <row r="42">
          <cell r="B42" t="str">
            <v>EMITTER_18</v>
          </cell>
          <cell r="I42">
            <v>9000</v>
          </cell>
          <cell r="K42">
            <v>500</v>
          </cell>
        </row>
        <row r="43">
          <cell r="B43" t="str">
            <v>EMITTER_18</v>
          </cell>
          <cell r="I43">
            <v>9000</v>
          </cell>
          <cell r="K43">
            <v>500</v>
          </cell>
        </row>
        <row r="44">
          <cell r="B44" t="str">
            <v>EMITTER_18</v>
          </cell>
          <cell r="I44">
            <v>9000</v>
          </cell>
          <cell r="K44">
            <v>500</v>
          </cell>
        </row>
        <row r="45">
          <cell r="B45" t="str">
            <v>EMITTER_19</v>
          </cell>
          <cell r="I45">
            <v>3700</v>
          </cell>
          <cell r="K45">
            <v>50</v>
          </cell>
        </row>
        <row r="46">
          <cell r="B46" t="str">
            <v>EMITTER_19</v>
          </cell>
          <cell r="I46">
            <v>3770</v>
          </cell>
          <cell r="K46">
            <v>30</v>
          </cell>
        </row>
        <row r="47">
          <cell r="B47" t="str">
            <v>EMITTER_20</v>
          </cell>
          <cell r="I47">
            <v>2111</v>
          </cell>
          <cell r="K47">
            <v>167</v>
          </cell>
        </row>
        <row r="48">
          <cell r="B48" t="str">
            <v>EMITTER_21</v>
          </cell>
          <cell r="I48">
            <v>6000</v>
          </cell>
          <cell r="K48">
            <v>200</v>
          </cell>
        </row>
        <row r="49">
          <cell r="B49" t="str">
            <v>EMITTER_21</v>
          </cell>
          <cell r="I49">
            <v>6000</v>
          </cell>
          <cell r="K49">
            <v>200</v>
          </cell>
        </row>
        <row r="50">
          <cell r="B50" t="str">
            <v>EMITTER_22</v>
          </cell>
          <cell r="I50">
            <v>5000</v>
          </cell>
          <cell r="K50">
            <v>100</v>
          </cell>
        </row>
        <row r="51">
          <cell r="B51" t="str">
            <v>EMITTER_22</v>
          </cell>
          <cell r="I51">
            <v>5000</v>
          </cell>
          <cell r="K51">
            <v>100</v>
          </cell>
        </row>
        <row r="52">
          <cell r="B52" t="str">
            <v>EMITTER_22</v>
          </cell>
          <cell r="I52">
            <v>5000</v>
          </cell>
          <cell r="K52">
            <v>100</v>
          </cell>
        </row>
        <row r="53">
          <cell r="B53" t="str">
            <v>EMITTER_23</v>
          </cell>
          <cell r="I53">
            <v>8000</v>
          </cell>
          <cell r="K53">
            <v>200</v>
          </cell>
        </row>
        <row r="54">
          <cell r="B54" t="str">
            <v>EMITTER_24</v>
          </cell>
          <cell r="I54">
            <v>2500</v>
          </cell>
          <cell r="K54">
            <v>50</v>
          </cell>
        </row>
        <row r="55">
          <cell r="B55" t="str">
            <v>EMITTER_25</v>
          </cell>
          <cell r="I55">
            <v>4550</v>
          </cell>
          <cell r="K55">
            <v>1</v>
          </cell>
        </row>
        <row r="56">
          <cell r="B56" t="str">
            <v>EMITTER_25</v>
          </cell>
          <cell r="I56">
            <v>4588</v>
          </cell>
          <cell r="K56">
            <v>2</v>
          </cell>
        </row>
        <row r="57">
          <cell r="B57" t="str">
            <v>EMITTER_25</v>
          </cell>
          <cell r="I57">
            <v>4620</v>
          </cell>
          <cell r="K57">
            <v>2</v>
          </cell>
        </row>
        <row r="58">
          <cell r="B58" t="str">
            <v>EMITTER_25</v>
          </cell>
          <cell r="I58">
            <v>4720</v>
          </cell>
          <cell r="K58">
            <v>2</v>
          </cell>
        </row>
        <row r="59">
          <cell r="B59" t="str">
            <v>EMITTER_25</v>
          </cell>
          <cell r="I59">
            <v>4788</v>
          </cell>
          <cell r="K59">
            <v>2</v>
          </cell>
        </row>
        <row r="60">
          <cell r="B60" t="str">
            <v>EMITTER_25</v>
          </cell>
          <cell r="I60">
            <v>4818</v>
          </cell>
          <cell r="K60">
            <v>2</v>
          </cell>
        </row>
        <row r="61">
          <cell r="B61" t="str">
            <v>EMITTER_26</v>
          </cell>
          <cell r="I61">
            <v>4900</v>
          </cell>
          <cell r="K61">
            <v>50</v>
          </cell>
        </row>
        <row r="62">
          <cell r="B62" t="str">
            <v>EMITTER_26</v>
          </cell>
          <cell r="I62">
            <v>4960</v>
          </cell>
          <cell r="K62">
            <v>50</v>
          </cell>
        </row>
        <row r="63">
          <cell r="B63" t="str">
            <v>EMITTER_27</v>
          </cell>
          <cell r="I63">
            <v>5000</v>
          </cell>
          <cell r="K63">
            <v>50</v>
          </cell>
        </row>
        <row r="64">
          <cell r="B64" t="str">
            <v>EMITTER_27</v>
          </cell>
          <cell r="I64">
            <v>5100</v>
          </cell>
          <cell r="K64">
            <v>50</v>
          </cell>
        </row>
        <row r="65">
          <cell r="B65" t="str">
            <v>EMITTER_27</v>
          </cell>
          <cell r="I65">
            <v>5100</v>
          </cell>
          <cell r="K65">
            <v>50</v>
          </cell>
        </row>
        <row r="66">
          <cell r="B66" t="str">
            <v>EMITTER_27</v>
          </cell>
          <cell r="I66">
            <v>700</v>
          </cell>
          <cell r="K66">
            <v>0</v>
          </cell>
        </row>
        <row r="67">
          <cell r="B67" t="str">
            <v>EMITTER_28</v>
          </cell>
          <cell r="I67">
            <v>2000</v>
          </cell>
          <cell r="K67">
            <v>220</v>
          </cell>
        </row>
        <row r="68">
          <cell r="B68" t="str">
            <v>EMITTER_29</v>
          </cell>
          <cell r="I68">
            <v>6700</v>
          </cell>
          <cell r="K68">
            <v>100</v>
          </cell>
        </row>
        <row r="69">
          <cell r="B69" t="str">
            <v>EMITTER_30</v>
          </cell>
          <cell r="I69">
            <v>4600</v>
          </cell>
          <cell r="K69">
            <v>100</v>
          </cell>
        </row>
        <row r="70">
          <cell r="B70" t="str">
            <v>EMITTER_30</v>
          </cell>
          <cell r="I70">
            <v>4600</v>
          </cell>
          <cell r="K70">
            <v>100</v>
          </cell>
        </row>
        <row r="71">
          <cell r="B71" t="str">
            <v>EMITTER_31</v>
          </cell>
          <cell r="I71">
            <v>5000</v>
          </cell>
          <cell r="K71">
            <v>50</v>
          </cell>
        </row>
        <row r="72">
          <cell r="B72" t="str">
            <v>EMITTER_31</v>
          </cell>
          <cell r="I72">
            <v>5100</v>
          </cell>
          <cell r="K72">
            <v>50</v>
          </cell>
        </row>
        <row r="73">
          <cell r="B73" t="str">
            <v>EMITTER_32</v>
          </cell>
          <cell r="I73">
            <v>4600</v>
          </cell>
          <cell r="K73">
            <v>50</v>
          </cell>
        </row>
        <row r="74">
          <cell r="B74" t="str">
            <v>EMITTER_33</v>
          </cell>
          <cell r="I74">
            <v>800</v>
          </cell>
          <cell r="K74">
            <v>100</v>
          </cell>
        </row>
        <row r="75">
          <cell r="B75" t="str">
            <v>EMITTER_34</v>
          </cell>
          <cell r="I75">
            <v>1200</v>
          </cell>
          <cell r="K75">
            <v>200</v>
          </cell>
        </row>
        <row r="76">
          <cell r="B76" t="str">
            <v>EMITTER_34</v>
          </cell>
          <cell r="I76">
            <v>17011</v>
          </cell>
          <cell r="K76">
            <v>78</v>
          </cell>
        </row>
        <row r="77">
          <cell r="B77" t="str">
            <v>EMITTER_34</v>
          </cell>
          <cell r="I77">
            <v>16500</v>
          </cell>
          <cell r="K77">
            <v>100</v>
          </cell>
        </row>
        <row r="78">
          <cell r="B78" t="str">
            <v>EMITTER_35</v>
          </cell>
          <cell r="I78">
            <v>3000</v>
          </cell>
          <cell r="K78">
            <v>100</v>
          </cell>
        </row>
        <row r="79">
          <cell r="B79" t="str">
            <v>EMITTER_35</v>
          </cell>
          <cell r="I79">
            <v>3100</v>
          </cell>
          <cell r="K79">
            <v>50</v>
          </cell>
        </row>
        <row r="80">
          <cell r="B80" t="str">
            <v>EMITTER_35</v>
          </cell>
          <cell r="I80">
            <v>3900</v>
          </cell>
          <cell r="K80">
            <v>50</v>
          </cell>
        </row>
        <row r="81">
          <cell r="B81" t="str">
            <v>EMITTER_36</v>
          </cell>
          <cell r="I81">
            <v>8800</v>
          </cell>
          <cell r="K81">
            <v>200</v>
          </cell>
        </row>
        <row r="82">
          <cell r="B82" t="str">
            <v>EMITTER_37</v>
          </cell>
          <cell r="I82">
            <v>5000</v>
          </cell>
          <cell r="K82">
            <v>50</v>
          </cell>
        </row>
        <row r="83">
          <cell r="B83" t="str">
            <v>EMITTER_37</v>
          </cell>
          <cell r="I83">
            <v>2700</v>
          </cell>
          <cell r="K83">
            <v>50</v>
          </cell>
        </row>
        <row r="84">
          <cell r="B84" t="str">
            <v>EMITTER_38</v>
          </cell>
          <cell r="I84">
            <v>850</v>
          </cell>
          <cell r="K84">
            <v>50</v>
          </cell>
        </row>
        <row r="85">
          <cell r="B85" t="str">
            <v>EMITTER_39</v>
          </cell>
          <cell r="I85">
            <v>2700</v>
          </cell>
          <cell r="K85">
            <v>50</v>
          </cell>
        </row>
        <row r="86">
          <cell r="B86" t="str">
            <v>EMITTER_39</v>
          </cell>
          <cell r="I86">
            <v>2700</v>
          </cell>
          <cell r="K86">
            <v>50</v>
          </cell>
        </row>
        <row r="87">
          <cell r="B87" t="str">
            <v>EMITTER_39</v>
          </cell>
          <cell r="I87">
            <v>2700</v>
          </cell>
          <cell r="K87">
            <v>50</v>
          </cell>
        </row>
        <row r="88">
          <cell r="B88" t="str">
            <v>EMITTER_39</v>
          </cell>
          <cell r="I88">
            <v>2700</v>
          </cell>
          <cell r="K88">
            <v>50</v>
          </cell>
        </row>
        <row r="89">
          <cell r="B89" t="str">
            <v>EMITTER_40</v>
          </cell>
          <cell r="I89">
            <v>4600</v>
          </cell>
          <cell r="K89">
            <v>60</v>
          </cell>
        </row>
        <row r="90">
          <cell r="B90" t="str">
            <v>EMITTER_40</v>
          </cell>
          <cell r="I90">
            <v>4600</v>
          </cell>
          <cell r="K90">
            <v>60</v>
          </cell>
        </row>
        <row r="91">
          <cell r="B91" t="str">
            <v>EMITTER_40</v>
          </cell>
          <cell r="I91">
            <v>4600</v>
          </cell>
          <cell r="K91">
            <v>60</v>
          </cell>
        </row>
        <row r="92">
          <cell r="B92" t="str">
            <v>EMITTER_40</v>
          </cell>
          <cell r="I92">
            <v>4600</v>
          </cell>
          <cell r="K92">
            <v>60</v>
          </cell>
        </row>
        <row r="93">
          <cell r="B93" t="str">
            <v>EMITTER_41</v>
          </cell>
          <cell r="I93">
            <v>9000</v>
          </cell>
          <cell r="K93">
            <v>59</v>
          </cell>
        </row>
        <row r="94">
          <cell r="B94" t="str">
            <v>EMITTER_42</v>
          </cell>
          <cell r="I94">
            <v>6000</v>
          </cell>
          <cell r="K94">
            <v>10</v>
          </cell>
        </row>
        <row r="95">
          <cell r="B95" t="str">
            <v>EMITTER_42</v>
          </cell>
          <cell r="I95">
            <v>7000</v>
          </cell>
          <cell r="K95">
            <v>50</v>
          </cell>
        </row>
        <row r="96">
          <cell r="B96" t="str">
            <v>EMITTER_42</v>
          </cell>
          <cell r="I96">
            <v>9800</v>
          </cell>
          <cell r="K96">
            <v>100</v>
          </cell>
        </row>
        <row r="97">
          <cell r="B97" t="str">
            <v>EMITTER_43</v>
          </cell>
          <cell r="I97">
            <v>5700</v>
          </cell>
          <cell r="K97">
            <v>50</v>
          </cell>
        </row>
        <row r="98">
          <cell r="B98" t="str">
            <v>EMITTER_43</v>
          </cell>
          <cell r="I98">
            <v>5800</v>
          </cell>
          <cell r="K98">
            <v>50</v>
          </cell>
        </row>
        <row r="99">
          <cell r="B99" t="str">
            <v>EMITTER_43</v>
          </cell>
          <cell r="I99">
            <v>888</v>
          </cell>
          <cell r="K99">
            <v>22</v>
          </cell>
        </row>
        <row r="100">
          <cell r="B100" t="str">
            <v>EMITTER_43</v>
          </cell>
          <cell r="I100">
            <v>888</v>
          </cell>
          <cell r="K100">
            <v>22</v>
          </cell>
        </row>
        <row r="101">
          <cell r="B101" t="str">
            <v>EMITTER_44</v>
          </cell>
          <cell r="I101">
            <v>16500</v>
          </cell>
          <cell r="K101">
            <v>100</v>
          </cell>
        </row>
        <row r="102">
          <cell r="B102" t="str">
            <v>EMITTER_44</v>
          </cell>
          <cell r="I102">
            <v>13200</v>
          </cell>
          <cell r="K102">
            <v>200</v>
          </cell>
        </row>
        <row r="103">
          <cell r="B103" t="str">
            <v>EMITTER_45</v>
          </cell>
          <cell r="I103">
            <v>2111</v>
          </cell>
          <cell r="K103">
            <v>86</v>
          </cell>
        </row>
        <row r="104">
          <cell r="B104" t="str">
            <v>EMITTER_45</v>
          </cell>
          <cell r="I104">
            <v>2111</v>
          </cell>
          <cell r="K104">
            <v>86</v>
          </cell>
        </row>
        <row r="105">
          <cell r="B105" t="str">
            <v>EMITTER_46</v>
          </cell>
          <cell r="I105">
            <v>13000</v>
          </cell>
          <cell r="K105">
            <v>0</v>
          </cell>
        </row>
        <row r="106">
          <cell r="B106" t="str">
            <v>EMITTER_47</v>
          </cell>
          <cell r="I106">
            <v>2600</v>
          </cell>
          <cell r="K106">
            <v>60</v>
          </cell>
        </row>
        <row r="107">
          <cell r="B107" t="str">
            <v>EMITTER_48</v>
          </cell>
          <cell r="I107">
            <v>8800</v>
          </cell>
          <cell r="K107">
            <v>200</v>
          </cell>
        </row>
        <row r="108">
          <cell r="B108" t="str">
            <v>EMITTER_48</v>
          </cell>
          <cell r="I108">
            <v>8800</v>
          </cell>
          <cell r="K108">
            <v>200</v>
          </cell>
        </row>
        <row r="109">
          <cell r="B109" t="str">
            <v>EMITTER_48</v>
          </cell>
          <cell r="I109">
            <v>1200</v>
          </cell>
          <cell r="K109">
            <v>50</v>
          </cell>
        </row>
        <row r="110">
          <cell r="B110" t="str">
            <v>EMITTER_49</v>
          </cell>
          <cell r="I110">
            <v>8000</v>
          </cell>
          <cell r="K110">
            <v>100</v>
          </cell>
        </row>
        <row r="111">
          <cell r="B111" t="str">
            <v>EMITTER_50</v>
          </cell>
          <cell r="I111">
            <v>7100</v>
          </cell>
          <cell r="K111">
            <v>100</v>
          </cell>
        </row>
        <row r="112">
          <cell r="B112" t="str">
            <v>EMITTER_50</v>
          </cell>
          <cell r="I112">
            <v>7100</v>
          </cell>
          <cell r="K112">
            <v>100</v>
          </cell>
        </row>
        <row r="113">
          <cell r="B113" t="str">
            <v>EMITTER_50</v>
          </cell>
          <cell r="I113">
            <v>7300</v>
          </cell>
          <cell r="K113">
            <v>100</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119"/>
  <sheetViews>
    <sheetView tabSelected="1" zoomScale="75" zoomScaleNormal="91" zoomScaleSheetLayoutView="50" workbookViewId="0">
      <pane xSplit="2" ySplit="1" topLeftCell="C2" activePane="bottomRight" state="frozen"/>
      <selection pane="topRight" activeCell="C1" sqref="C1"/>
      <selection pane="bottomLeft" activeCell="A2" sqref="A2"/>
      <selection pane="bottomRight" activeCell="U71" sqref="U71"/>
    </sheetView>
  </sheetViews>
  <sheetFormatPr defaultRowHeight="12.75" x14ac:dyDescent="0.2"/>
  <cols>
    <col min="1" max="1" width="11.42578125" style="31" customWidth="1"/>
    <col min="2" max="2" width="23.28515625" style="31" customWidth="1"/>
    <col min="3" max="3" width="5.140625" style="8" customWidth="1"/>
    <col min="4" max="5" width="9.42578125" style="32" customWidth="1"/>
    <col min="6" max="6" width="45.5703125" style="8" customWidth="1"/>
    <col min="7" max="7" width="8.85546875" style="31" customWidth="1"/>
    <col min="8" max="8" width="31.140625" style="8" customWidth="1"/>
    <col min="9" max="10" width="19" style="8" customWidth="1"/>
    <col min="11" max="11" width="16.140625" style="8" customWidth="1"/>
    <col min="12" max="12" width="11.7109375" style="31" customWidth="1"/>
    <col min="13" max="13" width="11.42578125" style="31" customWidth="1"/>
    <col min="14" max="14" width="11.42578125" style="31" hidden="1" customWidth="1"/>
    <col min="15" max="15" width="11.42578125" style="31" customWidth="1"/>
    <col min="16" max="16" width="13.42578125" style="32" customWidth="1"/>
    <col min="17" max="17" width="16.140625" style="32" customWidth="1"/>
    <col min="18" max="18" width="11" style="121" customWidth="1"/>
    <col min="19" max="19" width="10.5703125" style="111" customWidth="1"/>
    <col min="20" max="20" width="10.5703125" style="8" customWidth="1"/>
    <col min="21" max="21" width="14.85546875" style="32" customWidth="1"/>
    <col min="22" max="22" width="27.7109375" style="32" bestFit="1" customWidth="1"/>
    <col min="23" max="23" width="9.7109375" style="121" customWidth="1"/>
    <col min="24" max="24" width="10.140625" style="121" customWidth="1"/>
    <col min="25" max="25" width="10.140625" style="8" customWidth="1"/>
    <col min="26" max="27" width="13.7109375" style="8" customWidth="1"/>
    <col min="28" max="28" width="40" style="8" customWidth="1"/>
    <col min="29" max="29" width="0" style="8" hidden="1" customWidth="1"/>
    <col min="30" max="30" width="9.28515625" style="8" hidden="1" customWidth="1"/>
    <col min="31" max="31" width="7.85546875" style="8" hidden="1" customWidth="1"/>
    <col min="32" max="32" width="10" style="8" hidden="1" customWidth="1"/>
    <col min="33" max="33" width="7" style="8" hidden="1" customWidth="1"/>
    <col min="34" max="34" width="6.42578125" style="8" hidden="1" customWidth="1"/>
    <col min="35" max="35" width="8.7109375" style="8" hidden="1" customWidth="1"/>
    <col min="36" max="36" width="7.7109375" style="8" hidden="1" customWidth="1"/>
    <col min="37" max="37" width="6.140625" style="8" hidden="1" customWidth="1"/>
    <col min="38" max="38" width="16" style="31" customWidth="1"/>
    <col min="39" max="39" width="8.28515625" style="8" customWidth="1"/>
    <col min="40" max="40" width="7.42578125" style="8" hidden="1" customWidth="1"/>
    <col min="41" max="41" width="8.85546875" style="8" hidden="1" customWidth="1"/>
    <col min="42" max="42" width="7.85546875" style="8" hidden="1" customWidth="1"/>
    <col min="43" max="43" width="8.85546875" style="8" hidden="1" customWidth="1"/>
    <col min="44" max="44" width="7.85546875" style="8" hidden="1" customWidth="1"/>
    <col min="45" max="45" width="8.7109375" style="8" hidden="1" customWidth="1"/>
    <col min="46" max="46" width="7.5703125" style="8" hidden="1" customWidth="1"/>
    <col min="47" max="47" width="8.140625" style="8" hidden="1" customWidth="1"/>
    <col min="48" max="48" width="8.5703125" style="8" hidden="1" customWidth="1"/>
    <col min="49" max="49" width="8.7109375" style="8" customWidth="1"/>
    <col min="50" max="50" width="4.28515625" style="8" customWidth="1"/>
    <col min="51" max="51" width="6.85546875" style="8" hidden="1" customWidth="1"/>
    <col min="52" max="52" width="6.5703125" style="8" customWidth="1"/>
    <col min="53" max="53" width="9.140625" style="31"/>
    <col min="54" max="54" width="5.28515625" style="8" customWidth="1"/>
    <col min="55" max="55" width="8.140625" style="8" hidden="1" customWidth="1"/>
    <col min="56" max="57" width="7.5703125" style="8" customWidth="1"/>
    <col min="58" max="58" width="7.85546875" style="8" hidden="1" customWidth="1"/>
    <col min="59" max="59" width="8.42578125" style="8" hidden="1" customWidth="1"/>
    <col min="60" max="60" width="8.5703125" style="8" hidden="1" customWidth="1"/>
    <col min="61" max="61" width="16" style="31" customWidth="1"/>
    <col min="62" max="62" width="16" style="31" hidden="1" customWidth="1"/>
    <col min="63" max="63" width="14.42578125" style="31" customWidth="1"/>
    <col min="64" max="64" width="9.28515625" style="8" hidden="1" customWidth="1"/>
    <col min="65" max="65" width="5.42578125" style="33" hidden="1" customWidth="1"/>
    <col min="66" max="66" width="4.85546875" style="33" hidden="1" customWidth="1"/>
    <col min="67" max="67" width="4.5703125" style="33" hidden="1" customWidth="1"/>
    <col min="68" max="68" width="3.85546875" style="33" hidden="1" customWidth="1"/>
    <col min="69" max="69" width="6.5703125" style="27" hidden="1" customWidth="1"/>
    <col min="70" max="70" width="5.85546875" style="33" hidden="1" customWidth="1"/>
    <col min="71" max="71" width="5.7109375" style="33" hidden="1" customWidth="1"/>
    <col min="72" max="72" width="6.7109375" style="27" hidden="1" customWidth="1"/>
    <col min="73" max="73" width="6.42578125" style="8" hidden="1" customWidth="1"/>
    <col min="74" max="74" width="6.5703125" style="8" hidden="1" customWidth="1"/>
    <col min="75" max="75" width="32.7109375" style="16" customWidth="1"/>
    <col min="76" max="76" width="7.28515625" style="38" customWidth="1"/>
    <col min="77" max="77" width="13.140625" style="32" hidden="1" customWidth="1"/>
    <col min="78" max="78" width="16.7109375" style="32" bestFit="1" customWidth="1"/>
    <col min="79" max="16384" width="9.140625" style="8"/>
  </cols>
  <sheetData>
    <row r="1" spans="1:78" ht="64.5" thickBot="1" x14ac:dyDescent="0.25">
      <c r="A1" s="5" t="s">
        <v>331</v>
      </c>
      <c r="B1" s="5" t="s">
        <v>330</v>
      </c>
      <c r="C1" s="6" t="s">
        <v>331</v>
      </c>
      <c r="D1" s="5" t="s">
        <v>34</v>
      </c>
      <c r="E1" s="5" t="s">
        <v>343</v>
      </c>
      <c r="F1" s="6" t="s">
        <v>0</v>
      </c>
      <c r="G1" s="6" t="s">
        <v>57</v>
      </c>
      <c r="H1" s="6" t="s">
        <v>332</v>
      </c>
      <c r="I1" s="6" t="s">
        <v>307</v>
      </c>
      <c r="J1" s="6" t="s">
        <v>308</v>
      </c>
      <c r="K1" s="6" t="s">
        <v>309</v>
      </c>
      <c r="L1" s="5" t="s">
        <v>333</v>
      </c>
      <c r="M1" s="5" t="s">
        <v>334</v>
      </c>
      <c r="N1" s="9" t="s">
        <v>220</v>
      </c>
      <c r="O1" s="9" t="s">
        <v>313</v>
      </c>
      <c r="P1" s="5" t="s">
        <v>335</v>
      </c>
      <c r="Q1" s="5" t="s">
        <v>87</v>
      </c>
      <c r="R1" s="112" t="s">
        <v>336</v>
      </c>
      <c r="S1" s="100" t="s">
        <v>337</v>
      </c>
      <c r="T1" s="5" t="s">
        <v>85</v>
      </c>
      <c r="U1" s="5" t="s">
        <v>344</v>
      </c>
      <c r="V1" s="5" t="s">
        <v>88</v>
      </c>
      <c r="W1" s="112" t="s">
        <v>338</v>
      </c>
      <c r="X1" s="112" t="s">
        <v>339</v>
      </c>
      <c r="Y1" s="5" t="s">
        <v>86</v>
      </c>
      <c r="Z1" s="5" t="s">
        <v>341</v>
      </c>
      <c r="AA1" s="5" t="s">
        <v>342</v>
      </c>
      <c r="AB1" s="6" t="s">
        <v>340</v>
      </c>
      <c r="AC1" s="36" t="s">
        <v>172</v>
      </c>
      <c r="AD1" s="36" t="s">
        <v>173</v>
      </c>
      <c r="AE1" s="36" t="s">
        <v>174</v>
      </c>
      <c r="AF1" s="36" t="s">
        <v>175</v>
      </c>
      <c r="AG1" s="36" t="s">
        <v>176</v>
      </c>
      <c r="AH1" s="36" t="s">
        <v>177</v>
      </c>
      <c r="AI1" s="36" t="s">
        <v>178</v>
      </c>
      <c r="AJ1" s="36" t="s">
        <v>179</v>
      </c>
      <c r="AK1" s="37" t="s">
        <v>180</v>
      </c>
      <c r="AL1" s="9" t="s">
        <v>90</v>
      </c>
      <c r="AM1" s="36" t="s">
        <v>181</v>
      </c>
      <c r="AN1" s="36" t="s">
        <v>182</v>
      </c>
      <c r="AO1" s="36" t="s">
        <v>183</v>
      </c>
      <c r="AP1" s="36" t="s">
        <v>184</v>
      </c>
      <c r="AQ1" s="36" t="s">
        <v>185</v>
      </c>
      <c r="AR1" s="36" t="s">
        <v>191</v>
      </c>
      <c r="AS1" s="36" t="s">
        <v>192</v>
      </c>
      <c r="AT1" s="36" t="s">
        <v>193</v>
      </c>
      <c r="AU1" s="36" t="s">
        <v>194</v>
      </c>
      <c r="AV1" s="36" t="s">
        <v>195</v>
      </c>
      <c r="AW1" s="36" t="s">
        <v>186</v>
      </c>
      <c r="AX1" s="36" t="s">
        <v>197</v>
      </c>
      <c r="AY1" s="36" t="s">
        <v>198</v>
      </c>
      <c r="AZ1" s="36" t="s">
        <v>199</v>
      </c>
      <c r="BA1" s="36" t="s">
        <v>200</v>
      </c>
      <c r="BB1" s="36" t="s">
        <v>201</v>
      </c>
      <c r="BC1" s="36" t="s">
        <v>202</v>
      </c>
      <c r="BD1" s="36" t="s">
        <v>187</v>
      </c>
      <c r="BE1" s="36" t="s">
        <v>188</v>
      </c>
      <c r="BF1" s="36" t="s">
        <v>189</v>
      </c>
      <c r="BG1" s="36" t="s">
        <v>190</v>
      </c>
      <c r="BH1" s="36" t="s">
        <v>196</v>
      </c>
      <c r="BI1" s="9" t="s">
        <v>93</v>
      </c>
      <c r="BJ1" s="9" t="s">
        <v>91</v>
      </c>
      <c r="BK1" s="5" t="s">
        <v>8</v>
      </c>
      <c r="BL1" s="7"/>
      <c r="BM1" s="6" t="s">
        <v>42</v>
      </c>
      <c r="BN1" s="6" t="s">
        <v>43</v>
      </c>
      <c r="BO1" s="6" t="s">
        <v>44</v>
      </c>
      <c r="BP1" s="6" t="s">
        <v>45</v>
      </c>
      <c r="BQ1" s="5" t="s">
        <v>50</v>
      </c>
      <c r="BR1" s="5" t="s">
        <v>51</v>
      </c>
      <c r="BS1" s="5" t="s">
        <v>48</v>
      </c>
      <c r="BT1" s="5" t="s">
        <v>47</v>
      </c>
      <c r="BU1" s="5" t="s">
        <v>49</v>
      </c>
      <c r="BV1" s="5" t="s">
        <v>46</v>
      </c>
      <c r="BW1" s="35" t="s">
        <v>92</v>
      </c>
      <c r="BX1" s="41" t="s">
        <v>224</v>
      </c>
      <c r="BY1" s="48" t="s">
        <v>209</v>
      </c>
      <c r="BZ1" s="88" t="s">
        <v>252</v>
      </c>
    </row>
    <row r="2" spans="1:78" s="20" customFormat="1" ht="39" thickBot="1" x14ac:dyDescent="0.25">
      <c r="A2" s="14">
        <v>1</v>
      </c>
      <c r="B2" s="29" t="str">
        <f>"EMITTER_"&amp;TEXT(A2,"00")</f>
        <v>EMITTER_01</v>
      </c>
      <c r="C2" s="29">
        <v>6</v>
      </c>
      <c r="D2" s="12">
        <f t="shared" ref="D2:D33" si="0">A2*1000+E2</f>
        <v>1001</v>
      </c>
      <c r="E2" s="12">
        <v>1</v>
      </c>
      <c r="F2" s="13" t="s">
        <v>77</v>
      </c>
      <c r="G2" s="29" t="str">
        <f t="shared" ref="G2:G17" si="1">"Z00"&amp;TEXT(A2,"0")&amp;"Z"</f>
        <v>Z001Z</v>
      </c>
      <c r="H2" s="13" t="s">
        <v>17</v>
      </c>
      <c r="I2" s="13"/>
      <c r="J2" s="13"/>
      <c r="K2" s="13"/>
      <c r="L2" s="14">
        <v>8000</v>
      </c>
      <c r="M2" s="14">
        <v>8100</v>
      </c>
      <c r="N2" s="29">
        <f t="shared" ref="N2:N36" si="2">M2-L2</f>
        <v>100</v>
      </c>
      <c r="O2" s="29">
        <f t="shared" ref="O2:O33" si="3">M2-L2</f>
        <v>100</v>
      </c>
      <c r="P2" s="15" t="s">
        <v>84</v>
      </c>
      <c r="Q2" s="15" t="s">
        <v>229</v>
      </c>
      <c r="R2" s="113">
        <v>0</v>
      </c>
      <c r="S2" s="101">
        <v>0</v>
      </c>
      <c r="T2" s="13">
        <f t="shared" ref="T2:T33" si="4">S2-R2</f>
        <v>0</v>
      </c>
      <c r="U2" s="15" t="s">
        <v>18</v>
      </c>
      <c r="V2" s="15"/>
      <c r="W2" s="113">
        <v>0</v>
      </c>
      <c r="X2" s="113">
        <v>0</v>
      </c>
      <c r="Y2" s="13">
        <f t="shared" ref="Y2:Y33" si="5">X2-W2</f>
        <v>0</v>
      </c>
      <c r="Z2" s="13">
        <v>0</v>
      </c>
      <c r="AA2" s="13">
        <v>0</v>
      </c>
      <c r="AB2" s="13" t="s">
        <v>12</v>
      </c>
      <c r="AC2" s="23">
        <v>0</v>
      </c>
      <c r="AD2" s="23">
        <v>0</v>
      </c>
      <c r="AE2" s="23">
        <v>0</v>
      </c>
      <c r="AF2" s="23">
        <v>9999</v>
      </c>
      <c r="AG2" s="14">
        <v>5</v>
      </c>
      <c r="AH2" s="23">
        <v>5</v>
      </c>
      <c r="AI2" s="23">
        <v>0</v>
      </c>
      <c r="AJ2" s="23">
        <v>0</v>
      </c>
      <c r="AK2" s="23">
        <v>10</v>
      </c>
      <c r="AL2" s="14">
        <v>90</v>
      </c>
      <c r="AM2" s="23">
        <v>20</v>
      </c>
      <c r="AN2" s="23">
        <v>0</v>
      </c>
      <c r="AO2" s="23">
        <v>0</v>
      </c>
      <c r="AP2" s="23">
        <v>0</v>
      </c>
      <c r="AQ2" s="23">
        <v>0</v>
      </c>
      <c r="AR2" s="23">
        <v>0</v>
      </c>
      <c r="AS2" s="23">
        <v>0</v>
      </c>
      <c r="AT2" s="23">
        <v>0</v>
      </c>
      <c r="AU2" s="23">
        <v>0</v>
      </c>
      <c r="AV2" s="23">
        <v>0</v>
      </c>
      <c r="AW2" s="23">
        <v>2</v>
      </c>
      <c r="AX2" s="23">
        <v>1</v>
      </c>
      <c r="AY2" s="23">
        <v>0</v>
      </c>
      <c r="AZ2" s="23">
        <v>8</v>
      </c>
      <c r="BA2" s="29">
        <v>0</v>
      </c>
      <c r="BB2" s="23">
        <v>0</v>
      </c>
      <c r="BC2" s="23">
        <v>1</v>
      </c>
      <c r="BD2" s="23">
        <v>0.9</v>
      </c>
      <c r="BE2" s="23">
        <f t="shared" ref="BE2:BE10" si="6">2*BI2</f>
        <v>40</v>
      </c>
      <c r="BF2" s="23">
        <v>0</v>
      </c>
      <c r="BG2" s="23">
        <v>0</v>
      </c>
      <c r="BH2" s="87">
        <v>700</v>
      </c>
      <c r="BI2" s="14">
        <v>20</v>
      </c>
      <c r="BJ2" s="14">
        <v>5</v>
      </c>
      <c r="BK2" s="14" t="s">
        <v>9</v>
      </c>
      <c r="BL2" s="23"/>
      <c r="BM2" s="14">
        <v>1</v>
      </c>
      <c r="BN2" s="14"/>
      <c r="BO2" s="14"/>
      <c r="BP2" s="14"/>
      <c r="BQ2" s="13"/>
      <c r="BR2" s="14"/>
      <c r="BS2" s="14"/>
      <c r="BT2" s="13"/>
      <c r="BU2" s="13"/>
      <c r="BV2" s="13"/>
      <c r="BW2" s="15"/>
      <c r="BX2" s="43" t="s">
        <v>225</v>
      </c>
      <c r="BY2" s="50">
        <v>2</v>
      </c>
      <c r="BZ2" s="51" t="s">
        <v>253</v>
      </c>
    </row>
    <row r="3" spans="1:78" s="20" customFormat="1" ht="26.25" thickBot="1" x14ac:dyDescent="0.25">
      <c r="A3" s="14">
        <v>1</v>
      </c>
      <c r="B3" s="29" t="str">
        <f t="shared" ref="B3:B20" si="7">"EMITTER_"&amp;TEXT(A3,"00")</f>
        <v>EMITTER_01</v>
      </c>
      <c r="C3" s="29">
        <v>6</v>
      </c>
      <c r="D3" s="12">
        <f t="shared" si="0"/>
        <v>1002</v>
      </c>
      <c r="E3" s="12">
        <v>2</v>
      </c>
      <c r="F3" s="13" t="s">
        <v>77</v>
      </c>
      <c r="G3" s="29" t="str">
        <f t="shared" si="1"/>
        <v>Z001Z</v>
      </c>
      <c r="H3" s="13" t="s">
        <v>17</v>
      </c>
      <c r="I3" s="13"/>
      <c r="J3" s="13"/>
      <c r="K3" s="13"/>
      <c r="L3" s="14">
        <v>8000</v>
      </c>
      <c r="M3" s="14">
        <v>8100</v>
      </c>
      <c r="N3" s="29">
        <f t="shared" si="2"/>
        <v>100</v>
      </c>
      <c r="O3" s="29">
        <f t="shared" si="3"/>
        <v>100</v>
      </c>
      <c r="P3" s="51" t="s">
        <v>314</v>
      </c>
      <c r="Q3" s="15" t="s">
        <v>210</v>
      </c>
      <c r="R3" s="113">
        <v>0</v>
      </c>
      <c r="S3" s="101">
        <v>0</v>
      </c>
      <c r="T3" s="13">
        <f t="shared" si="4"/>
        <v>0</v>
      </c>
      <c r="U3" s="15" t="s">
        <v>18</v>
      </c>
      <c r="V3" s="15"/>
      <c r="W3" s="113">
        <v>0</v>
      </c>
      <c r="X3" s="113">
        <v>0</v>
      </c>
      <c r="Y3" s="13">
        <f t="shared" si="5"/>
        <v>0</v>
      </c>
      <c r="Z3" s="13">
        <v>0</v>
      </c>
      <c r="AA3" s="13">
        <v>0</v>
      </c>
      <c r="AB3" s="13" t="s">
        <v>12</v>
      </c>
      <c r="AC3" s="23">
        <v>50</v>
      </c>
      <c r="AD3" s="23">
        <v>0</v>
      </c>
      <c r="AE3" s="23">
        <v>0</v>
      </c>
      <c r="AF3" s="23">
        <v>500</v>
      </c>
      <c r="AG3" s="14">
        <v>10</v>
      </c>
      <c r="AH3" s="23">
        <v>10</v>
      </c>
      <c r="AI3" s="23">
        <v>0</v>
      </c>
      <c r="AJ3" s="23">
        <v>0</v>
      </c>
      <c r="AK3" s="23">
        <v>10</v>
      </c>
      <c r="AL3" s="14">
        <v>90</v>
      </c>
      <c r="AM3" s="23">
        <v>20</v>
      </c>
      <c r="AN3" s="23">
        <v>0</v>
      </c>
      <c r="AO3" s="23">
        <v>0</v>
      </c>
      <c r="AP3" s="23">
        <v>0</v>
      </c>
      <c r="AQ3" s="23">
        <v>0</v>
      </c>
      <c r="AR3" s="23">
        <v>0</v>
      </c>
      <c r="AS3" s="23">
        <v>0</v>
      </c>
      <c r="AT3" s="23">
        <v>0</v>
      </c>
      <c r="AU3" s="23">
        <v>0</v>
      </c>
      <c r="AV3" s="23">
        <v>0</v>
      </c>
      <c r="AW3" s="23">
        <v>2</v>
      </c>
      <c r="AX3" s="23">
        <v>1</v>
      </c>
      <c r="AY3" s="23">
        <v>0</v>
      </c>
      <c r="AZ3" s="23">
        <v>8</v>
      </c>
      <c r="BA3" s="29">
        <v>0</v>
      </c>
      <c r="BB3" s="23">
        <v>0</v>
      </c>
      <c r="BC3" s="23">
        <v>0</v>
      </c>
      <c r="BD3" s="23">
        <v>0.9</v>
      </c>
      <c r="BE3" s="23">
        <f t="shared" si="6"/>
        <v>40</v>
      </c>
      <c r="BF3" s="23">
        <v>0</v>
      </c>
      <c r="BG3" s="23">
        <v>0</v>
      </c>
      <c r="BH3" s="87">
        <v>700</v>
      </c>
      <c r="BI3" s="14">
        <v>20</v>
      </c>
      <c r="BJ3" s="14">
        <v>10</v>
      </c>
      <c r="BK3" s="14" t="s">
        <v>9</v>
      </c>
      <c r="BL3" s="23"/>
      <c r="BM3" s="14">
        <v>1</v>
      </c>
      <c r="BN3" s="14"/>
      <c r="BO3" s="14"/>
      <c r="BP3" s="14"/>
      <c r="BQ3" s="13"/>
      <c r="BR3" s="14"/>
      <c r="BS3" s="14"/>
      <c r="BT3" s="13"/>
      <c r="BU3" s="13"/>
      <c r="BV3" s="13"/>
      <c r="BW3" s="15"/>
      <c r="BX3" s="43" t="s">
        <v>225</v>
      </c>
      <c r="BY3" s="50">
        <v>2</v>
      </c>
      <c r="BZ3" s="51" t="s">
        <v>253</v>
      </c>
    </row>
    <row r="4" spans="1:78" s="63" customFormat="1" ht="27" customHeight="1" thickBot="1" x14ac:dyDescent="0.25">
      <c r="A4" s="52">
        <v>2</v>
      </c>
      <c r="B4" s="29" t="str">
        <f t="shared" si="7"/>
        <v>EMITTER_02</v>
      </c>
      <c r="C4" s="53">
        <f t="shared" ref="C4:C35" si="8">5*A4</f>
        <v>10</v>
      </c>
      <c r="D4" s="12">
        <f t="shared" si="0"/>
        <v>2001</v>
      </c>
      <c r="E4" s="54">
        <v>1</v>
      </c>
      <c r="F4" s="55" t="s">
        <v>82</v>
      </c>
      <c r="G4" s="53" t="str">
        <f t="shared" si="1"/>
        <v>Z002Z</v>
      </c>
      <c r="H4" s="55" t="s">
        <v>5</v>
      </c>
      <c r="I4" s="55"/>
      <c r="J4" s="55"/>
      <c r="K4" s="55"/>
      <c r="L4" s="52">
        <v>4600</v>
      </c>
      <c r="M4" s="52">
        <v>4650</v>
      </c>
      <c r="N4" s="53">
        <f t="shared" si="2"/>
        <v>50</v>
      </c>
      <c r="O4" s="29">
        <f t="shared" si="3"/>
        <v>50</v>
      </c>
      <c r="P4" s="62" t="s">
        <v>64</v>
      </c>
      <c r="Q4" s="56" t="s">
        <v>94</v>
      </c>
      <c r="R4" s="114">
        <v>580</v>
      </c>
      <c r="S4" s="102">
        <v>600</v>
      </c>
      <c r="T4" s="55">
        <f t="shared" si="4"/>
        <v>20</v>
      </c>
      <c r="U4" s="56" t="s">
        <v>11</v>
      </c>
      <c r="V4" s="56" t="s">
        <v>107</v>
      </c>
      <c r="W4" s="114">
        <v>1</v>
      </c>
      <c r="X4" s="114">
        <v>2</v>
      </c>
      <c r="Y4" s="55">
        <f t="shared" si="5"/>
        <v>1</v>
      </c>
      <c r="Z4" s="55">
        <v>0</v>
      </c>
      <c r="AA4" s="55">
        <v>0</v>
      </c>
      <c r="AB4" s="55" t="s">
        <v>12</v>
      </c>
      <c r="AC4" s="57">
        <v>0</v>
      </c>
      <c r="AD4" s="57">
        <v>0</v>
      </c>
      <c r="AE4" s="57">
        <v>0</v>
      </c>
      <c r="AF4" s="57">
        <v>9999</v>
      </c>
      <c r="AG4" s="52">
        <v>3</v>
      </c>
      <c r="AH4" s="57">
        <v>3</v>
      </c>
      <c r="AI4" s="57">
        <v>0</v>
      </c>
      <c r="AJ4" s="57">
        <v>0</v>
      </c>
      <c r="AK4" s="57">
        <v>0</v>
      </c>
      <c r="AL4" s="52">
        <v>120</v>
      </c>
      <c r="AM4" s="57">
        <v>20</v>
      </c>
      <c r="AN4" s="57">
        <v>0</v>
      </c>
      <c r="AO4" s="57">
        <v>0</v>
      </c>
      <c r="AP4" s="57">
        <v>0</v>
      </c>
      <c r="AQ4" s="57">
        <v>0</v>
      </c>
      <c r="AR4" s="57">
        <v>0</v>
      </c>
      <c r="AS4" s="57">
        <v>0</v>
      </c>
      <c r="AT4" s="57">
        <v>0</v>
      </c>
      <c r="AU4" s="57">
        <v>0</v>
      </c>
      <c r="AV4" s="57">
        <v>0</v>
      </c>
      <c r="AW4" s="57">
        <v>2</v>
      </c>
      <c r="AX4" s="57">
        <v>0</v>
      </c>
      <c r="AY4" s="57">
        <v>0</v>
      </c>
      <c r="AZ4" s="57">
        <v>8</v>
      </c>
      <c r="BA4" s="53">
        <v>1</v>
      </c>
      <c r="BB4" s="57">
        <v>1</v>
      </c>
      <c r="BC4" s="57">
        <v>0</v>
      </c>
      <c r="BD4" s="57">
        <v>0.9</v>
      </c>
      <c r="BE4" s="57">
        <f t="shared" si="6"/>
        <v>24</v>
      </c>
      <c r="BF4" s="57">
        <v>0</v>
      </c>
      <c r="BG4" s="57">
        <v>0</v>
      </c>
      <c r="BH4" s="57">
        <v>0</v>
      </c>
      <c r="BI4" s="52">
        <v>12</v>
      </c>
      <c r="BJ4" s="52">
        <v>3</v>
      </c>
      <c r="BK4" s="52" t="s">
        <v>9</v>
      </c>
      <c r="BL4" s="65"/>
      <c r="BM4" s="52"/>
      <c r="BN4" s="52"/>
      <c r="BO4" s="52">
        <v>1</v>
      </c>
      <c r="BP4" s="52"/>
      <c r="BQ4" s="55"/>
      <c r="BR4" s="52">
        <v>1</v>
      </c>
      <c r="BS4" s="52"/>
      <c r="BT4" s="55"/>
      <c r="BU4" s="57"/>
      <c r="BV4" s="57"/>
      <c r="BW4" s="64"/>
      <c r="BX4" s="60" t="s">
        <v>225</v>
      </c>
      <c r="BY4" s="61">
        <v>4</v>
      </c>
      <c r="BZ4" s="62" t="s">
        <v>254</v>
      </c>
    </row>
    <row r="5" spans="1:78" s="63" customFormat="1" ht="27" customHeight="1" thickBot="1" x14ac:dyDescent="0.25">
      <c r="A5" s="52">
        <v>2</v>
      </c>
      <c r="B5" s="29" t="str">
        <f t="shared" si="7"/>
        <v>EMITTER_02</v>
      </c>
      <c r="C5" s="53">
        <f t="shared" si="8"/>
        <v>10</v>
      </c>
      <c r="D5" s="12">
        <f t="shared" si="0"/>
        <v>2011</v>
      </c>
      <c r="E5" s="54">
        <v>11</v>
      </c>
      <c r="F5" s="55" t="s">
        <v>82</v>
      </c>
      <c r="G5" s="53" t="str">
        <f t="shared" si="1"/>
        <v>Z002Z</v>
      </c>
      <c r="H5" s="55" t="s">
        <v>5</v>
      </c>
      <c r="I5" s="55"/>
      <c r="J5" s="55"/>
      <c r="K5" s="55"/>
      <c r="L5" s="52">
        <v>9200</v>
      </c>
      <c r="M5" s="52">
        <v>9300</v>
      </c>
      <c r="N5" s="53">
        <f t="shared" si="2"/>
        <v>100</v>
      </c>
      <c r="O5" s="29">
        <f t="shared" si="3"/>
        <v>100</v>
      </c>
      <c r="P5" s="62" t="s">
        <v>64</v>
      </c>
      <c r="Q5" s="56"/>
      <c r="R5" s="114">
        <v>580</v>
      </c>
      <c r="S5" s="102">
        <v>600</v>
      </c>
      <c r="T5" s="55">
        <f t="shared" si="4"/>
        <v>20</v>
      </c>
      <c r="U5" s="56" t="s">
        <v>11</v>
      </c>
      <c r="V5" s="56" t="s">
        <v>230</v>
      </c>
      <c r="W5" s="114">
        <v>1</v>
      </c>
      <c r="X5" s="114">
        <v>2</v>
      </c>
      <c r="Y5" s="55">
        <f t="shared" si="5"/>
        <v>1</v>
      </c>
      <c r="Z5" s="55">
        <v>0</v>
      </c>
      <c r="AA5" s="55">
        <v>0</v>
      </c>
      <c r="AB5" s="55" t="s">
        <v>12</v>
      </c>
      <c r="AC5" s="57">
        <v>0</v>
      </c>
      <c r="AD5" s="57">
        <v>0</v>
      </c>
      <c r="AE5" s="57">
        <v>0</v>
      </c>
      <c r="AF5" s="57">
        <v>9999</v>
      </c>
      <c r="AG5" s="52">
        <v>3</v>
      </c>
      <c r="AH5" s="57">
        <v>3</v>
      </c>
      <c r="AI5" s="57">
        <v>0</v>
      </c>
      <c r="AJ5" s="57">
        <v>0</v>
      </c>
      <c r="AK5" s="57">
        <v>0</v>
      </c>
      <c r="AL5" s="52">
        <v>120</v>
      </c>
      <c r="AM5" s="57">
        <v>20</v>
      </c>
      <c r="AN5" s="57">
        <v>0</v>
      </c>
      <c r="AO5" s="57">
        <v>0</v>
      </c>
      <c r="AP5" s="57">
        <v>0</v>
      </c>
      <c r="AQ5" s="57">
        <v>0</v>
      </c>
      <c r="AR5" s="57">
        <v>0</v>
      </c>
      <c r="AS5" s="57">
        <v>0</v>
      </c>
      <c r="AT5" s="57">
        <v>0</v>
      </c>
      <c r="AU5" s="57">
        <v>0</v>
      </c>
      <c r="AV5" s="57">
        <v>0</v>
      </c>
      <c r="AW5" s="57">
        <v>2</v>
      </c>
      <c r="AX5" s="57">
        <v>0</v>
      </c>
      <c r="AY5" s="57">
        <v>0</v>
      </c>
      <c r="AZ5" s="57">
        <v>8</v>
      </c>
      <c r="BA5" s="53">
        <v>1</v>
      </c>
      <c r="BB5" s="57">
        <v>0</v>
      </c>
      <c r="BC5" s="57">
        <v>0</v>
      </c>
      <c r="BD5" s="57">
        <v>0.9</v>
      </c>
      <c r="BE5" s="57">
        <f t="shared" si="6"/>
        <v>24</v>
      </c>
      <c r="BF5" s="57">
        <v>0</v>
      </c>
      <c r="BG5" s="57">
        <v>0</v>
      </c>
      <c r="BH5" s="57">
        <v>0</v>
      </c>
      <c r="BI5" s="52">
        <v>12</v>
      </c>
      <c r="BJ5" s="52">
        <v>3</v>
      </c>
      <c r="BK5" s="52" t="s">
        <v>9</v>
      </c>
      <c r="BL5" s="65"/>
      <c r="BM5" s="52">
        <v>1</v>
      </c>
      <c r="BN5" s="52"/>
      <c r="BO5" s="52"/>
      <c r="BP5" s="52"/>
      <c r="BQ5" s="55"/>
      <c r="BR5" s="52"/>
      <c r="BS5" s="52"/>
      <c r="BT5" s="55"/>
      <c r="BU5" s="55"/>
      <c r="BV5" s="55"/>
      <c r="BW5" s="56"/>
      <c r="BX5" s="60" t="s">
        <v>225</v>
      </c>
      <c r="BY5" s="61">
        <v>4</v>
      </c>
      <c r="BZ5" s="62" t="s">
        <v>254</v>
      </c>
    </row>
    <row r="6" spans="1:78" s="20" customFormat="1" ht="26.25" thickBot="1" x14ac:dyDescent="0.25">
      <c r="A6" s="14">
        <v>3</v>
      </c>
      <c r="B6" s="29" t="str">
        <f t="shared" si="7"/>
        <v>EMITTER_03</v>
      </c>
      <c r="C6" s="29">
        <f t="shared" si="8"/>
        <v>15</v>
      </c>
      <c r="D6" s="12">
        <f t="shared" si="0"/>
        <v>3001</v>
      </c>
      <c r="E6" s="12">
        <v>1</v>
      </c>
      <c r="F6" s="13" t="s">
        <v>55</v>
      </c>
      <c r="G6" s="29" t="str">
        <f t="shared" si="1"/>
        <v>Z003Z</v>
      </c>
      <c r="H6" s="13" t="s">
        <v>27</v>
      </c>
      <c r="I6" s="13"/>
      <c r="J6" s="13"/>
      <c r="K6" s="13"/>
      <c r="L6" s="14">
        <v>9900</v>
      </c>
      <c r="M6" s="14">
        <v>9950</v>
      </c>
      <c r="N6" s="29">
        <f t="shared" si="2"/>
        <v>50</v>
      </c>
      <c r="O6" s="29">
        <f t="shared" si="3"/>
        <v>50</v>
      </c>
      <c r="P6" s="13" t="s">
        <v>6</v>
      </c>
      <c r="Q6" s="15"/>
      <c r="R6" s="113">
        <v>20</v>
      </c>
      <c r="S6" s="103">
        <v>49</v>
      </c>
      <c r="T6" s="13">
        <f t="shared" si="4"/>
        <v>29</v>
      </c>
      <c r="U6" s="49" t="s">
        <v>31</v>
      </c>
      <c r="V6" s="15" t="s">
        <v>89</v>
      </c>
      <c r="W6" s="113">
        <v>10</v>
      </c>
      <c r="X6" s="113">
        <v>11</v>
      </c>
      <c r="Y6" s="13">
        <f t="shared" si="5"/>
        <v>1</v>
      </c>
      <c r="Z6" s="79">
        <v>2.9</v>
      </c>
      <c r="AA6" s="79">
        <v>2.9</v>
      </c>
      <c r="AB6" s="51" t="s">
        <v>322</v>
      </c>
      <c r="AC6" s="79">
        <v>0</v>
      </c>
      <c r="AD6" s="13">
        <v>60</v>
      </c>
      <c r="AE6" s="23">
        <v>0</v>
      </c>
      <c r="AF6" s="47">
        <v>23.984999999999999</v>
      </c>
      <c r="AG6" s="14">
        <v>2</v>
      </c>
      <c r="AH6" s="23">
        <v>2</v>
      </c>
      <c r="AI6" s="47">
        <v>2</v>
      </c>
      <c r="AJ6" s="47">
        <v>30</v>
      </c>
      <c r="AK6" s="23">
        <v>0</v>
      </c>
      <c r="AL6" s="14">
        <v>92</v>
      </c>
      <c r="AM6" s="23">
        <v>20</v>
      </c>
      <c r="AN6" s="23">
        <v>0</v>
      </c>
      <c r="AO6" s="23">
        <v>0</v>
      </c>
      <c r="AP6" s="23">
        <v>0</v>
      </c>
      <c r="AQ6" s="23">
        <v>0</v>
      </c>
      <c r="AR6" s="23">
        <v>4</v>
      </c>
      <c r="AS6" s="47">
        <v>8</v>
      </c>
      <c r="AT6" s="23">
        <v>0</v>
      </c>
      <c r="AU6" s="23">
        <v>0</v>
      </c>
      <c r="AV6" s="23">
        <v>0</v>
      </c>
      <c r="AW6" s="23">
        <v>2</v>
      </c>
      <c r="AX6" s="23">
        <v>1</v>
      </c>
      <c r="AY6" s="23">
        <v>0</v>
      </c>
      <c r="AZ6" s="23">
        <v>4</v>
      </c>
      <c r="BA6" s="29">
        <v>0</v>
      </c>
      <c r="BB6" s="23">
        <v>0</v>
      </c>
      <c r="BC6" s="23">
        <v>0</v>
      </c>
      <c r="BD6" s="23">
        <v>0.9</v>
      </c>
      <c r="BE6" s="23">
        <f t="shared" si="6"/>
        <v>30</v>
      </c>
      <c r="BF6" s="23">
        <v>1</v>
      </c>
      <c r="BG6" s="23">
        <v>0</v>
      </c>
      <c r="BH6" s="23">
        <v>700</v>
      </c>
      <c r="BI6" s="14">
        <v>15</v>
      </c>
      <c r="BJ6" s="14">
        <v>2</v>
      </c>
      <c r="BK6" s="14" t="s">
        <v>9</v>
      </c>
      <c r="BL6" s="23"/>
      <c r="BM6" s="14">
        <v>1</v>
      </c>
      <c r="BN6" s="14"/>
      <c r="BO6" s="14"/>
      <c r="BP6" s="14"/>
      <c r="BQ6" s="13"/>
      <c r="BR6" s="14"/>
      <c r="BS6" s="14"/>
      <c r="BT6" s="13"/>
      <c r="BU6" s="13"/>
      <c r="BV6" s="13"/>
      <c r="BW6" s="15"/>
      <c r="BX6" s="43" t="s">
        <v>226</v>
      </c>
      <c r="BY6" s="50" t="str">
        <f>"Approx "&amp;TEXT((3*AA6),0)&amp;" (3*SP)"</f>
        <v>Approx 9 (3*SP)</v>
      </c>
      <c r="BZ6" s="51" t="s">
        <v>253</v>
      </c>
    </row>
    <row r="7" spans="1:78" s="20" customFormat="1" ht="13.5" thickBot="1" x14ac:dyDescent="0.25">
      <c r="A7" s="14">
        <v>3</v>
      </c>
      <c r="B7" s="29" t="str">
        <f t="shared" si="7"/>
        <v>EMITTER_03</v>
      </c>
      <c r="C7" s="29">
        <f t="shared" si="8"/>
        <v>15</v>
      </c>
      <c r="D7" s="12">
        <f t="shared" si="0"/>
        <v>3002</v>
      </c>
      <c r="E7" s="12">
        <v>2</v>
      </c>
      <c r="F7" s="13" t="s">
        <v>54</v>
      </c>
      <c r="G7" s="29" t="str">
        <f t="shared" si="1"/>
        <v>Z003Z</v>
      </c>
      <c r="H7" s="13" t="s">
        <v>5</v>
      </c>
      <c r="I7" s="13"/>
      <c r="J7" s="13"/>
      <c r="K7" s="13"/>
      <c r="L7" s="14">
        <v>9900</v>
      </c>
      <c r="M7" s="14">
        <v>9950</v>
      </c>
      <c r="N7" s="29">
        <f t="shared" si="2"/>
        <v>50</v>
      </c>
      <c r="O7" s="29">
        <f t="shared" si="3"/>
        <v>50</v>
      </c>
      <c r="P7" s="15" t="s">
        <v>6</v>
      </c>
      <c r="Q7" s="15"/>
      <c r="R7" s="113">
        <v>20</v>
      </c>
      <c r="S7" s="101">
        <v>50</v>
      </c>
      <c r="T7" s="13">
        <f t="shared" si="4"/>
        <v>30</v>
      </c>
      <c r="U7" s="15" t="s">
        <v>6</v>
      </c>
      <c r="V7" s="15"/>
      <c r="W7" s="113">
        <v>1</v>
      </c>
      <c r="X7" s="113">
        <v>2</v>
      </c>
      <c r="Y7" s="13">
        <f t="shared" si="5"/>
        <v>1</v>
      </c>
      <c r="Z7" s="13">
        <v>0</v>
      </c>
      <c r="AA7" s="13">
        <v>0</v>
      </c>
      <c r="AB7" s="13" t="s">
        <v>12</v>
      </c>
      <c r="AC7" s="23">
        <v>0</v>
      </c>
      <c r="AD7" s="23">
        <v>0</v>
      </c>
      <c r="AE7" s="23">
        <v>0</v>
      </c>
      <c r="AF7" s="23">
        <v>9999</v>
      </c>
      <c r="AG7" s="14">
        <v>2</v>
      </c>
      <c r="AH7" s="23">
        <v>2</v>
      </c>
      <c r="AI7" s="23">
        <v>0</v>
      </c>
      <c r="AJ7" s="23">
        <v>0</v>
      </c>
      <c r="AK7" s="23">
        <v>0</v>
      </c>
      <c r="AL7" s="14">
        <v>92</v>
      </c>
      <c r="AM7" s="23">
        <v>20</v>
      </c>
      <c r="AN7" s="23">
        <v>0</v>
      </c>
      <c r="AO7" s="23">
        <v>0</v>
      </c>
      <c r="AP7" s="23">
        <v>0</v>
      </c>
      <c r="AQ7" s="23">
        <v>0</v>
      </c>
      <c r="AR7" s="23">
        <v>0</v>
      </c>
      <c r="AS7" s="23">
        <v>0</v>
      </c>
      <c r="AT7" s="23">
        <v>0</v>
      </c>
      <c r="AU7" s="23">
        <v>0</v>
      </c>
      <c r="AV7" s="23">
        <v>0</v>
      </c>
      <c r="AW7" s="23">
        <v>2</v>
      </c>
      <c r="AX7" s="23">
        <v>1</v>
      </c>
      <c r="AY7" s="23">
        <v>0</v>
      </c>
      <c r="AZ7" s="23">
        <v>8</v>
      </c>
      <c r="BA7" s="29">
        <v>0</v>
      </c>
      <c r="BB7" s="23">
        <v>0</v>
      </c>
      <c r="BC7" s="23">
        <v>0</v>
      </c>
      <c r="BD7" s="23">
        <v>0.9</v>
      </c>
      <c r="BE7" s="23">
        <f t="shared" si="6"/>
        <v>30</v>
      </c>
      <c r="BF7" s="23">
        <v>0</v>
      </c>
      <c r="BG7" s="23">
        <v>0</v>
      </c>
      <c r="BH7" s="23">
        <v>700</v>
      </c>
      <c r="BI7" s="14">
        <v>15</v>
      </c>
      <c r="BJ7" s="14">
        <v>2</v>
      </c>
      <c r="BK7" s="14" t="s">
        <v>9</v>
      </c>
      <c r="BL7" s="23"/>
      <c r="BM7" s="14">
        <v>1</v>
      </c>
      <c r="BN7" s="14"/>
      <c r="BO7" s="14"/>
      <c r="BP7" s="14"/>
      <c r="BQ7" s="13"/>
      <c r="BR7" s="14">
        <v>1</v>
      </c>
      <c r="BS7" s="14"/>
      <c r="BT7" s="13"/>
      <c r="BU7" s="13"/>
      <c r="BV7" s="13"/>
      <c r="BW7" s="15"/>
      <c r="BX7" s="43" t="s">
        <v>225</v>
      </c>
      <c r="BY7" s="50">
        <v>4</v>
      </c>
      <c r="BZ7" s="51" t="s">
        <v>253</v>
      </c>
    </row>
    <row r="8" spans="1:78" ht="12.75" customHeight="1" thickBot="1" x14ac:dyDescent="0.25">
      <c r="A8" s="10">
        <v>3</v>
      </c>
      <c r="B8" s="29" t="str">
        <f t="shared" si="7"/>
        <v>EMITTER_03</v>
      </c>
      <c r="C8" s="11">
        <f t="shared" si="8"/>
        <v>15</v>
      </c>
      <c r="D8" s="12">
        <f t="shared" si="0"/>
        <v>3003</v>
      </c>
      <c r="E8" s="12">
        <v>3</v>
      </c>
      <c r="F8" s="13" t="s">
        <v>56</v>
      </c>
      <c r="G8" s="11" t="str">
        <f t="shared" si="1"/>
        <v>Z003Z</v>
      </c>
      <c r="H8" s="13" t="s">
        <v>17</v>
      </c>
      <c r="I8" s="13"/>
      <c r="J8" s="13"/>
      <c r="K8" s="13"/>
      <c r="L8" s="14">
        <v>9900</v>
      </c>
      <c r="M8" s="14">
        <v>9950</v>
      </c>
      <c r="N8" s="11">
        <f t="shared" si="2"/>
        <v>50</v>
      </c>
      <c r="O8" s="29">
        <f t="shared" si="3"/>
        <v>50</v>
      </c>
      <c r="P8" s="15" t="s">
        <v>6</v>
      </c>
      <c r="Q8" s="15"/>
      <c r="R8" s="113">
        <v>9</v>
      </c>
      <c r="S8" s="101">
        <v>72</v>
      </c>
      <c r="T8" s="13">
        <f t="shared" si="4"/>
        <v>63</v>
      </c>
      <c r="U8" s="15" t="s">
        <v>6</v>
      </c>
      <c r="V8" s="15"/>
      <c r="W8" s="113">
        <v>1</v>
      </c>
      <c r="X8" s="113">
        <v>5</v>
      </c>
      <c r="Y8" s="13">
        <f t="shared" si="5"/>
        <v>4</v>
      </c>
      <c r="Z8" s="13">
        <v>0</v>
      </c>
      <c r="AA8" s="13">
        <v>0</v>
      </c>
      <c r="AB8" s="13" t="s">
        <v>12</v>
      </c>
      <c r="AC8" s="21">
        <v>0</v>
      </c>
      <c r="AD8" s="21">
        <v>0</v>
      </c>
      <c r="AE8" s="21">
        <v>0</v>
      </c>
      <c r="AF8" s="21">
        <v>9999</v>
      </c>
      <c r="AG8" s="14">
        <v>2</v>
      </c>
      <c r="AH8" s="45">
        <v>2</v>
      </c>
      <c r="AI8" s="21"/>
      <c r="AJ8" s="21"/>
      <c r="AK8" s="21">
        <v>0</v>
      </c>
      <c r="AL8" s="14">
        <v>92</v>
      </c>
      <c r="AM8" s="21">
        <v>20</v>
      </c>
      <c r="AN8" s="21">
        <v>0</v>
      </c>
      <c r="AO8" s="21">
        <v>0</v>
      </c>
      <c r="AP8" s="21">
        <v>0</v>
      </c>
      <c r="AQ8" s="21">
        <v>0</v>
      </c>
      <c r="AR8" s="21">
        <v>0</v>
      </c>
      <c r="AS8" s="21">
        <v>0</v>
      </c>
      <c r="AT8" s="21">
        <v>0</v>
      </c>
      <c r="AU8" s="21">
        <v>0</v>
      </c>
      <c r="AV8" s="21">
        <v>0</v>
      </c>
      <c r="AW8" s="21">
        <v>2</v>
      </c>
      <c r="AX8" s="21">
        <v>1</v>
      </c>
      <c r="AY8" s="21">
        <v>0</v>
      </c>
      <c r="AZ8" s="21">
        <v>8</v>
      </c>
      <c r="BA8" s="11">
        <v>0</v>
      </c>
      <c r="BB8" s="21">
        <v>0</v>
      </c>
      <c r="BC8" s="21">
        <v>0</v>
      </c>
      <c r="BD8" s="21">
        <v>0.9</v>
      </c>
      <c r="BE8" s="21">
        <f t="shared" si="6"/>
        <v>30</v>
      </c>
      <c r="BF8" s="21">
        <v>0</v>
      </c>
      <c r="BG8" s="21">
        <v>0</v>
      </c>
      <c r="BH8" s="21">
        <v>700</v>
      </c>
      <c r="BI8" s="14">
        <v>15</v>
      </c>
      <c r="BJ8" s="14">
        <v>2</v>
      </c>
      <c r="BK8" s="14" t="s">
        <v>9</v>
      </c>
      <c r="BL8" s="19"/>
      <c r="BM8" s="17">
        <v>1</v>
      </c>
      <c r="BN8" s="17"/>
      <c r="BO8" s="17"/>
      <c r="BP8" s="17"/>
      <c r="BQ8" s="18"/>
      <c r="BR8" s="17">
        <v>1</v>
      </c>
      <c r="BS8" s="17"/>
      <c r="BT8" s="18"/>
      <c r="BU8" s="18"/>
      <c r="BV8" s="18"/>
      <c r="BW8" s="22"/>
      <c r="BX8" s="42" t="s">
        <v>225</v>
      </c>
      <c r="BY8" s="46">
        <v>2</v>
      </c>
      <c r="BZ8" s="51" t="s">
        <v>253</v>
      </c>
    </row>
    <row r="9" spans="1:78" s="63" customFormat="1" ht="27" customHeight="1" thickBot="1" x14ac:dyDescent="0.25">
      <c r="A9" s="52">
        <v>4</v>
      </c>
      <c r="B9" s="29" t="str">
        <f t="shared" si="7"/>
        <v>EMITTER_04</v>
      </c>
      <c r="C9" s="53">
        <f t="shared" si="8"/>
        <v>20</v>
      </c>
      <c r="D9" s="12">
        <f t="shared" si="0"/>
        <v>4001</v>
      </c>
      <c r="E9" s="54">
        <v>1</v>
      </c>
      <c r="F9" s="55" t="s">
        <v>72</v>
      </c>
      <c r="G9" s="53" t="str">
        <f t="shared" si="1"/>
        <v>Z004Z</v>
      </c>
      <c r="H9" s="55" t="s">
        <v>27</v>
      </c>
      <c r="I9" s="55"/>
      <c r="J9" s="55"/>
      <c r="K9" s="55"/>
      <c r="L9" s="52">
        <v>2200</v>
      </c>
      <c r="M9" s="52">
        <v>2250</v>
      </c>
      <c r="N9" s="53">
        <f t="shared" si="2"/>
        <v>50</v>
      </c>
      <c r="O9" s="29">
        <f t="shared" si="3"/>
        <v>50</v>
      </c>
      <c r="P9" s="56" t="s">
        <v>6</v>
      </c>
      <c r="Q9" s="56"/>
      <c r="R9" s="114">
        <v>2000</v>
      </c>
      <c r="S9" s="102">
        <v>2400</v>
      </c>
      <c r="T9" s="55">
        <f t="shared" si="4"/>
        <v>400</v>
      </c>
      <c r="U9" s="56" t="s">
        <v>109</v>
      </c>
      <c r="V9" s="56" t="s">
        <v>108</v>
      </c>
      <c r="W9" s="114">
        <v>5</v>
      </c>
      <c r="X9" s="114">
        <v>7</v>
      </c>
      <c r="Y9" s="55">
        <f t="shared" si="5"/>
        <v>2</v>
      </c>
      <c r="Z9" s="55">
        <v>7</v>
      </c>
      <c r="AA9" s="55">
        <v>7</v>
      </c>
      <c r="AB9" s="62" t="s">
        <v>321</v>
      </c>
      <c r="AC9" s="57">
        <v>0</v>
      </c>
      <c r="AD9" s="57">
        <v>120</v>
      </c>
      <c r="AE9" s="57">
        <v>0</v>
      </c>
      <c r="AF9" s="57">
        <v>0</v>
      </c>
      <c r="AG9" s="52">
        <v>5</v>
      </c>
      <c r="AH9" s="57">
        <v>8</v>
      </c>
      <c r="AI9" s="58">
        <v>0</v>
      </c>
      <c r="AJ9" s="58">
        <v>0</v>
      </c>
      <c r="AK9" s="57">
        <v>0</v>
      </c>
      <c r="AL9" s="52">
        <v>120</v>
      </c>
      <c r="AM9" s="57">
        <v>25</v>
      </c>
      <c r="AN9" s="57">
        <v>0</v>
      </c>
      <c r="AO9" s="57">
        <v>0</v>
      </c>
      <c r="AP9" s="57">
        <v>0</v>
      </c>
      <c r="AQ9" s="57">
        <v>0</v>
      </c>
      <c r="AR9" s="57">
        <v>3</v>
      </c>
      <c r="AS9" s="58">
        <v>24</v>
      </c>
      <c r="AT9" s="57">
        <v>0</v>
      </c>
      <c r="AU9" s="57">
        <v>0</v>
      </c>
      <c r="AV9" s="57">
        <v>0</v>
      </c>
      <c r="AW9" s="57">
        <v>2</v>
      </c>
      <c r="AX9" s="57">
        <v>0</v>
      </c>
      <c r="AY9" s="57">
        <v>0</v>
      </c>
      <c r="AZ9" s="59">
        <v>7</v>
      </c>
      <c r="BA9" s="53">
        <v>1</v>
      </c>
      <c r="BB9" s="57">
        <v>0</v>
      </c>
      <c r="BC9" s="57">
        <v>0</v>
      </c>
      <c r="BD9" s="57">
        <v>0.9</v>
      </c>
      <c r="BE9" s="57">
        <f t="shared" si="6"/>
        <v>20</v>
      </c>
      <c r="BF9" s="57">
        <v>1</v>
      </c>
      <c r="BG9" s="57">
        <v>0</v>
      </c>
      <c r="BH9" s="57">
        <v>0</v>
      </c>
      <c r="BI9" s="52">
        <v>10</v>
      </c>
      <c r="BJ9" s="52">
        <v>5</v>
      </c>
      <c r="BK9" s="52" t="s">
        <v>9</v>
      </c>
      <c r="BL9" s="65"/>
      <c r="BM9" s="52"/>
      <c r="BN9" s="52"/>
      <c r="BO9" s="52"/>
      <c r="BP9" s="52">
        <v>1</v>
      </c>
      <c r="BQ9" s="55"/>
      <c r="BR9" s="52">
        <v>1</v>
      </c>
      <c r="BS9" s="52">
        <v>1</v>
      </c>
      <c r="BT9" s="55"/>
      <c r="BU9" s="55"/>
      <c r="BV9" s="55"/>
      <c r="BW9" s="56"/>
      <c r="BX9" s="60" t="s">
        <v>226</v>
      </c>
      <c r="BY9" s="61" t="str">
        <f>"Approx "&amp;TEXT((3*AA9),0)&amp;" (3*SP)"</f>
        <v>Approx 21 (3*SP)</v>
      </c>
      <c r="BZ9" s="62" t="s">
        <v>254</v>
      </c>
    </row>
    <row r="10" spans="1:78" s="63" customFormat="1" ht="26.25" thickBot="1" x14ac:dyDescent="0.25">
      <c r="A10" s="52">
        <v>4</v>
      </c>
      <c r="B10" s="29" t="str">
        <f t="shared" si="7"/>
        <v>EMITTER_04</v>
      </c>
      <c r="C10" s="53">
        <f t="shared" si="8"/>
        <v>20</v>
      </c>
      <c r="D10" s="12">
        <f t="shared" si="0"/>
        <v>4002</v>
      </c>
      <c r="E10" s="54">
        <v>2</v>
      </c>
      <c r="F10" s="55" t="s">
        <v>72</v>
      </c>
      <c r="G10" s="53" t="str">
        <f t="shared" si="1"/>
        <v>Z004Z</v>
      </c>
      <c r="H10" s="55" t="s">
        <v>27</v>
      </c>
      <c r="I10" s="55"/>
      <c r="J10" s="55"/>
      <c r="K10" s="55"/>
      <c r="L10" s="52">
        <v>2200</v>
      </c>
      <c r="M10" s="52">
        <v>2555</v>
      </c>
      <c r="N10" s="53">
        <f t="shared" si="2"/>
        <v>355</v>
      </c>
      <c r="O10" s="29">
        <f t="shared" si="3"/>
        <v>355</v>
      </c>
      <c r="P10" s="56" t="s">
        <v>6</v>
      </c>
      <c r="Q10" s="56"/>
      <c r="R10" s="114">
        <v>2500</v>
      </c>
      <c r="S10" s="102">
        <v>2500</v>
      </c>
      <c r="T10" s="55">
        <f t="shared" si="4"/>
        <v>0</v>
      </c>
      <c r="U10" s="56" t="s">
        <v>6</v>
      </c>
      <c r="V10" s="56"/>
      <c r="W10" s="114">
        <v>5</v>
      </c>
      <c r="X10" s="114">
        <v>7</v>
      </c>
      <c r="Y10" s="55">
        <f t="shared" si="5"/>
        <v>2</v>
      </c>
      <c r="Z10" s="55">
        <v>7</v>
      </c>
      <c r="AA10" s="55">
        <v>7</v>
      </c>
      <c r="AB10" s="62" t="s">
        <v>321</v>
      </c>
      <c r="AC10" s="57">
        <v>0</v>
      </c>
      <c r="AD10" s="57">
        <v>120</v>
      </c>
      <c r="AE10" s="57">
        <v>0</v>
      </c>
      <c r="AF10" s="57">
        <v>0</v>
      </c>
      <c r="AG10" s="52">
        <v>5</v>
      </c>
      <c r="AH10" s="57">
        <v>8</v>
      </c>
      <c r="AI10" s="58">
        <v>0</v>
      </c>
      <c r="AJ10" s="58">
        <v>0</v>
      </c>
      <c r="AK10" s="57">
        <v>0</v>
      </c>
      <c r="AL10" s="52">
        <v>120</v>
      </c>
      <c r="AM10" s="57">
        <v>25</v>
      </c>
      <c r="AN10" s="57">
        <v>0</v>
      </c>
      <c r="AO10" s="57">
        <v>0</v>
      </c>
      <c r="AP10" s="57">
        <v>0</v>
      </c>
      <c r="AQ10" s="57">
        <v>0</v>
      </c>
      <c r="AR10" s="57">
        <v>3</v>
      </c>
      <c r="AS10" s="58">
        <v>24</v>
      </c>
      <c r="AT10" s="57">
        <v>0</v>
      </c>
      <c r="AU10" s="57">
        <v>0</v>
      </c>
      <c r="AV10" s="57">
        <v>0</v>
      </c>
      <c r="AW10" s="57">
        <v>2</v>
      </c>
      <c r="AX10" s="57">
        <v>0</v>
      </c>
      <c r="AY10" s="57">
        <v>0</v>
      </c>
      <c r="AZ10" s="59">
        <v>7</v>
      </c>
      <c r="BA10" s="53">
        <v>1</v>
      </c>
      <c r="BB10" s="57">
        <v>0</v>
      </c>
      <c r="BC10" s="57">
        <v>0</v>
      </c>
      <c r="BD10" s="57">
        <v>0.9</v>
      </c>
      <c r="BE10" s="57">
        <f t="shared" si="6"/>
        <v>20</v>
      </c>
      <c r="BF10" s="57">
        <v>1</v>
      </c>
      <c r="BG10" s="57">
        <v>0</v>
      </c>
      <c r="BH10" s="57">
        <v>0</v>
      </c>
      <c r="BI10" s="52">
        <v>10</v>
      </c>
      <c r="BJ10" s="52">
        <v>5</v>
      </c>
      <c r="BK10" s="52" t="s">
        <v>9</v>
      </c>
      <c r="BL10" s="65"/>
      <c r="BM10" s="52"/>
      <c r="BN10" s="52"/>
      <c r="BO10" s="52"/>
      <c r="BP10" s="52">
        <v>1</v>
      </c>
      <c r="BQ10" s="55"/>
      <c r="BR10" s="52">
        <v>1</v>
      </c>
      <c r="BS10" s="52">
        <v>1</v>
      </c>
      <c r="BT10" s="55"/>
      <c r="BU10" s="55"/>
      <c r="BV10" s="55"/>
      <c r="BW10" s="56"/>
      <c r="BX10" s="60" t="s">
        <v>226</v>
      </c>
      <c r="BY10" s="61" t="str">
        <f>"Approx "&amp;TEXT((3*AA10),0)&amp;" (3*SP)"</f>
        <v>Approx 21 (3*SP)</v>
      </c>
      <c r="BZ10" s="62" t="s">
        <v>254</v>
      </c>
    </row>
    <row r="11" spans="1:78" s="20" customFormat="1" ht="36.75" customHeight="1" thickBot="1" x14ac:dyDescent="0.25">
      <c r="A11" s="14">
        <v>5</v>
      </c>
      <c r="B11" s="29" t="str">
        <f t="shared" si="7"/>
        <v>EMITTER_05</v>
      </c>
      <c r="C11" s="29">
        <f t="shared" si="8"/>
        <v>25</v>
      </c>
      <c r="D11" s="12">
        <f t="shared" si="0"/>
        <v>5001</v>
      </c>
      <c r="E11" s="29">
        <v>1</v>
      </c>
      <c r="F11" s="23" t="s">
        <v>21</v>
      </c>
      <c r="G11" s="29" t="str">
        <f t="shared" si="1"/>
        <v>Z005Z</v>
      </c>
      <c r="H11" s="23" t="s">
        <v>22</v>
      </c>
      <c r="I11" s="23"/>
      <c r="J11" s="23"/>
      <c r="K11" s="23"/>
      <c r="L11" s="29">
        <v>1225</v>
      </c>
      <c r="M11" s="29">
        <v>1300</v>
      </c>
      <c r="N11" s="29">
        <f t="shared" si="2"/>
        <v>75</v>
      </c>
      <c r="O11" s="29">
        <f t="shared" si="3"/>
        <v>75</v>
      </c>
      <c r="P11" s="51" t="s">
        <v>329</v>
      </c>
      <c r="Q11" s="15" t="s">
        <v>203</v>
      </c>
      <c r="R11" s="113">
        <v>1800</v>
      </c>
      <c r="S11" s="101">
        <v>2250</v>
      </c>
      <c r="T11" s="13">
        <f t="shared" si="4"/>
        <v>450</v>
      </c>
      <c r="U11" s="15" t="s">
        <v>109</v>
      </c>
      <c r="V11" s="15" t="s">
        <v>110</v>
      </c>
      <c r="W11" s="115">
        <v>28</v>
      </c>
      <c r="X11" s="115">
        <v>29</v>
      </c>
      <c r="Y11" s="13">
        <f t="shared" si="5"/>
        <v>1</v>
      </c>
      <c r="Z11" s="23">
        <v>20</v>
      </c>
      <c r="AA11" s="23">
        <v>20</v>
      </c>
      <c r="AB11" s="51" t="s">
        <v>316</v>
      </c>
      <c r="AC11" s="23">
        <v>0</v>
      </c>
      <c r="AD11" s="23">
        <v>360</v>
      </c>
      <c r="AE11" s="23">
        <v>0</v>
      </c>
      <c r="AF11" s="23">
        <v>0</v>
      </c>
      <c r="AG11" s="14">
        <v>2</v>
      </c>
      <c r="AH11" s="23">
        <v>3</v>
      </c>
      <c r="AI11" s="47">
        <v>0</v>
      </c>
      <c r="AJ11" s="47">
        <v>0</v>
      </c>
      <c r="AK11" s="23">
        <v>10</v>
      </c>
      <c r="AL11" s="14">
        <v>100</v>
      </c>
      <c r="AM11" s="23">
        <v>20</v>
      </c>
      <c r="AN11" s="23">
        <v>0</v>
      </c>
      <c r="AO11" s="23">
        <v>0</v>
      </c>
      <c r="AP11" s="23">
        <v>0</v>
      </c>
      <c r="AQ11" s="23">
        <v>0</v>
      </c>
      <c r="AR11" s="23">
        <v>0</v>
      </c>
      <c r="AS11" s="23">
        <v>0</v>
      </c>
      <c r="AT11" s="23">
        <v>0</v>
      </c>
      <c r="AU11" s="23">
        <v>0</v>
      </c>
      <c r="AV11" s="23">
        <v>0</v>
      </c>
      <c r="AW11" s="23">
        <v>3</v>
      </c>
      <c r="AX11" s="23">
        <v>0</v>
      </c>
      <c r="AY11" s="23"/>
      <c r="AZ11" s="23">
        <v>0</v>
      </c>
      <c r="BA11" s="82">
        <v>1</v>
      </c>
      <c r="BB11" s="47"/>
      <c r="BC11" s="47"/>
      <c r="BD11" s="47">
        <v>0.9</v>
      </c>
      <c r="BE11" s="47">
        <v>30</v>
      </c>
      <c r="BF11" s="47">
        <v>0</v>
      </c>
      <c r="BG11" s="47">
        <v>0</v>
      </c>
      <c r="BH11" s="82">
        <v>0</v>
      </c>
      <c r="BI11" s="14" t="s">
        <v>133</v>
      </c>
      <c r="BJ11" s="14">
        <v>2</v>
      </c>
      <c r="BK11" s="14" t="s">
        <v>25</v>
      </c>
      <c r="BL11" s="23"/>
      <c r="BM11" s="14"/>
      <c r="BN11" s="14"/>
      <c r="BO11" s="14">
        <v>1</v>
      </c>
      <c r="BP11" s="14"/>
      <c r="BQ11" s="13"/>
      <c r="BR11" s="14">
        <v>1</v>
      </c>
      <c r="BS11" s="14"/>
      <c r="BT11" s="13"/>
      <c r="BU11" s="23"/>
      <c r="BV11" s="23"/>
      <c r="BW11" s="15"/>
      <c r="BX11" s="43" t="s">
        <v>226</v>
      </c>
      <c r="BY11" s="50" t="str">
        <f>"Approx "&amp;TEXT((3*AA11),0)&amp;" (3*SP)"</f>
        <v>Approx 60 (3*SP)</v>
      </c>
      <c r="BZ11" s="51" t="s">
        <v>254</v>
      </c>
    </row>
    <row r="12" spans="1:78" s="68" customFormat="1" ht="26.25" thickBot="1" x14ac:dyDescent="0.25">
      <c r="A12" s="52">
        <v>6</v>
      </c>
      <c r="B12" s="29" t="str">
        <f t="shared" si="7"/>
        <v>EMITTER_06</v>
      </c>
      <c r="C12" s="52">
        <f t="shared" si="8"/>
        <v>30</v>
      </c>
      <c r="D12" s="12">
        <f t="shared" si="0"/>
        <v>6001</v>
      </c>
      <c r="E12" s="54">
        <v>1</v>
      </c>
      <c r="F12" s="55" t="s">
        <v>52</v>
      </c>
      <c r="G12" s="52" t="str">
        <f t="shared" si="1"/>
        <v>Z006Z</v>
      </c>
      <c r="H12" s="55" t="s">
        <v>27</v>
      </c>
      <c r="I12" s="55"/>
      <c r="J12" s="55"/>
      <c r="K12" s="55"/>
      <c r="L12" s="52">
        <v>2500</v>
      </c>
      <c r="M12" s="52">
        <v>2550</v>
      </c>
      <c r="N12" s="52">
        <f t="shared" si="2"/>
        <v>50</v>
      </c>
      <c r="O12" s="29">
        <f t="shared" si="3"/>
        <v>50</v>
      </c>
      <c r="P12" s="56" t="s">
        <v>6</v>
      </c>
      <c r="Q12" s="56"/>
      <c r="R12" s="114">
        <v>2500</v>
      </c>
      <c r="S12" s="102">
        <v>2550</v>
      </c>
      <c r="T12" s="55">
        <f t="shared" si="4"/>
        <v>50</v>
      </c>
      <c r="U12" s="56" t="s">
        <v>6</v>
      </c>
      <c r="V12" s="56"/>
      <c r="W12" s="114">
        <v>3</v>
      </c>
      <c r="X12" s="114">
        <v>5</v>
      </c>
      <c r="Y12" s="55">
        <f t="shared" si="5"/>
        <v>2</v>
      </c>
      <c r="Z12" s="55">
        <v>10</v>
      </c>
      <c r="AA12" s="55">
        <v>10</v>
      </c>
      <c r="AB12" s="62" t="s">
        <v>316</v>
      </c>
      <c r="AC12" s="55">
        <v>0</v>
      </c>
      <c r="AD12" s="55">
        <v>360</v>
      </c>
      <c r="AE12" s="55">
        <v>0</v>
      </c>
      <c r="AF12" s="55">
        <v>0</v>
      </c>
      <c r="AG12" s="52">
        <v>2</v>
      </c>
      <c r="AH12" s="55">
        <v>8</v>
      </c>
      <c r="AI12" s="66">
        <v>0</v>
      </c>
      <c r="AJ12" s="66">
        <v>0</v>
      </c>
      <c r="AK12" s="55">
        <v>0</v>
      </c>
      <c r="AL12" s="52">
        <v>110</v>
      </c>
      <c r="AM12" s="55">
        <v>20</v>
      </c>
      <c r="AN12" s="55">
        <v>0</v>
      </c>
      <c r="AO12" s="55">
        <v>0</v>
      </c>
      <c r="AP12" s="55">
        <v>0</v>
      </c>
      <c r="AQ12" s="55">
        <v>0</v>
      </c>
      <c r="AR12" s="55">
        <v>0</v>
      </c>
      <c r="AS12" s="55">
        <v>0</v>
      </c>
      <c r="AT12" s="55">
        <v>0</v>
      </c>
      <c r="AU12" s="55">
        <v>0</v>
      </c>
      <c r="AV12" s="55">
        <v>0</v>
      </c>
      <c r="AW12" s="55">
        <v>3</v>
      </c>
      <c r="AX12" s="55">
        <v>0</v>
      </c>
      <c r="AY12" s="55">
        <v>0</v>
      </c>
      <c r="AZ12" s="55">
        <v>0</v>
      </c>
      <c r="BA12" s="52">
        <v>1</v>
      </c>
      <c r="BB12" s="55">
        <v>1</v>
      </c>
      <c r="BC12" s="55">
        <v>0</v>
      </c>
      <c r="BD12" s="55">
        <v>0.9</v>
      </c>
      <c r="BE12" s="55">
        <v>30</v>
      </c>
      <c r="BF12" s="55">
        <v>0</v>
      </c>
      <c r="BG12" s="55">
        <v>0</v>
      </c>
      <c r="BH12" s="55">
        <v>0</v>
      </c>
      <c r="BI12" s="52" t="s">
        <v>133</v>
      </c>
      <c r="BJ12" s="52">
        <v>2</v>
      </c>
      <c r="BK12" s="52" t="s">
        <v>25</v>
      </c>
      <c r="BL12" s="67"/>
      <c r="BM12" s="52">
        <v>1</v>
      </c>
      <c r="BN12" s="52"/>
      <c r="BO12" s="52"/>
      <c r="BP12" s="52"/>
      <c r="BQ12" s="55"/>
      <c r="BR12" s="52"/>
      <c r="BS12" s="52"/>
      <c r="BT12" s="55"/>
      <c r="BU12" s="55"/>
      <c r="BV12" s="55"/>
      <c r="BW12" s="56"/>
      <c r="BX12" s="60" t="s">
        <v>226</v>
      </c>
      <c r="BY12" s="61" t="str">
        <f>"Approx "&amp;TEXT((3*AA12),0)&amp;" (3*SP)"</f>
        <v>Approx 30 (3*SP)</v>
      </c>
      <c r="BZ12" s="62" t="s">
        <v>254</v>
      </c>
    </row>
    <row r="13" spans="1:78" s="68" customFormat="1" ht="51.75" thickBot="1" x14ac:dyDescent="0.25">
      <c r="A13" s="52">
        <v>6</v>
      </c>
      <c r="B13" s="29" t="str">
        <f t="shared" si="7"/>
        <v>EMITTER_06</v>
      </c>
      <c r="C13" s="52">
        <f t="shared" si="8"/>
        <v>30</v>
      </c>
      <c r="D13" s="12">
        <f t="shared" si="0"/>
        <v>6002</v>
      </c>
      <c r="E13" s="54">
        <v>2</v>
      </c>
      <c r="F13" s="55" t="s">
        <v>52</v>
      </c>
      <c r="G13" s="52" t="str">
        <f t="shared" si="1"/>
        <v>Z006Z</v>
      </c>
      <c r="H13" s="55" t="s">
        <v>27</v>
      </c>
      <c r="I13" s="55"/>
      <c r="J13" s="55"/>
      <c r="K13" s="55"/>
      <c r="L13" s="52">
        <v>2700</v>
      </c>
      <c r="M13" s="69">
        <v>2749</v>
      </c>
      <c r="N13" s="52">
        <f t="shared" si="2"/>
        <v>49</v>
      </c>
      <c r="O13" s="29">
        <f t="shared" si="3"/>
        <v>49</v>
      </c>
      <c r="P13" s="64" t="s">
        <v>31</v>
      </c>
      <c r="Q13" s="56" t="s">
        <v>95</v>
      </c>
      <c r="R13" s="114">
        <v>2500</v>
      </c>
      <c r="S13" s="102">
        <v>2550</v>
      </c>
      <c r="T13" s="55">
        <f t="shared" si="4"/>
        <v>50</v>
      </c>
      <c r="U13" s="56" t="s">
        <v>6</v>
      </c>
      <c r="V13" s="56"/>
      <c r="W13" s="114">
        <v>3</v>
      </c>
      <c r="X13" s="114">
        <v>5</v>
      </c>
      <c r="Y13" s="55">
        <f t="shared" si="5"/>
        <v>2</v>
      </c>
      <c r="Z13" s="56" t="s">
        <v>267</v>
      </c>
      <c r="AA13" s="56" t="s">
        <v>267</v>
      </c>
      <c r="AB13" s="62" t="s">
        <v>316</v>
      </c>
      <c r="AC13" s="55"/>
      <c r="AD13" s="66">
        <v>30</v>
      </c>
      <c r="AE13" s="55">
        <v>0</v>
      </c>
      <c r="AF13" s="55" t="s">
        <v>209</v>
      </c>
      <c r="AG13" s="52">
        <v>2</v>
      </c>
      <c r="AH13" s="55">
        <v>2</v>
      </c>
      <c r="AI13" s="55">
        <v>0</v>
      </c>
      <c r="AJ13" s="55">
        <v>0</v>
      </c>
      <c r="AK13" s="55">
        <v>0</v>
      </c>
      <c r="AL13" s="52">
        <v>110</v>
      </c>
      <c r="AM13" s="55">
        <v>20</v>
      </c>
      <c r="AN13" s="55">
        <v>0</v>
      </c>
      <c r="AO13" s="55">
        <v>0</v>
      </c>
      <c r="AP13" s="55">
        <v>0</v>
      </c>
      <c r="AQ13" s="55">
        <v>0</v>
      </c>
      <c r="AR13" s="66">
        <v>0</v>
      </c>
      <c r="AS13" s="66">
        <v>20</v>
      </c>
      <c r="AT13" s="55">
        <v>0</v>
      </c>
      <c r="AU13" s="55">
        <v>0</v>
      </c>
      <c r="AV13" s="55">
        <v>0</v>
      </c>
      <c r="AW13" s="55">
        <v>3</v>
      </c>
      <c r="AX13" s="55">
        <v>0</v>
      </c>
      <c r="AY13" s="55">
        <v>0</v>
      </c>
      <c r="AZ13" s="55">
        <v>5</v>
      </c>
      <c r="BA13" s="52">
        <v>1</v>
      </c>
      <c r="BB13" s="55">
        <v>1</v>
      </c>
      <c r="BC13" s="55">
        <v>1</v>
      </c>
      <c r="BD13" s="55">
        <v>0.9</v>
      </c>
      <c r="BE13" s="55">
        <v>30</v>
      </c>
      <c r="BF13" s="55">
        <v>0</v>
      </c>
      <c r="BG13" s="55">
        <v>0</v>
      </c>
      <c r="BH13" s="55">
        <v>0</v>
      </c>
      <c r="BI13" s="52" t="s">
        <v>133</v>
      </c>
      <c r="BJ13" s="52">
        <v>5</v>
      </c>
      <c r="BK13" s="52" t="s">
        <v>25</v>
      </c>
      <c r="BL13" s="67"/>
      <c r="BM13" s="52">
        <v>1</v>
      </c>
      <c r="BN13" s="52"/>
      <c r="BO13" s="52"/>
      <c r="BP13" s="52"/>
      <c r="BQ13" s="55"/>
      <c r="BR13" s="52"/>
      <c r="BS13" s="52"/>
      <c r="BT13" s="55"/>
      <c r="BU13" s="55"/>
      <c r="BV13" s="55"/>
      <c r="BW13" s="56"/>
      <c r="BX13" s="60" t="s">
        <v>226</v>
      </c>
      <c r="BY13" s="61" t="str">
        <f>"Approx "&amp;TEXT(30,0)&amp;" (3*SP)"</f>
        <v>Approx 30 (3*SP)</v>
      </c>
      <c r="BZ13" s="62" t="s">
        <v>254</v>
      </c>
    </row>
    <row r="14" spans="1:78" s="24" customFormat="1" ht="39" thickBot="1" x14ac:dyDescent="0.25">
      <c r="A14" s="29">
        <v>7</v>
      </c>
      <c r="B14" s="29" t="str">
        <f t="shared" si="7"/>
        <v>EMITTER_07</v>
      </c>
      <c r="C14" s="29">
        <f t="shared" si="8"/>
        <v>35</v>
      </c>
      <c r="D14" s="12">
        <f t="shared" si="0"/>
        <v>7001</v>
      </c>
      <c r="E14" s="29">
        <v>1</v>
      </c>
      <c r="F14" s="13" t="s">
        <v>137</v>
      </c>
      <c r="G14" s="29" t="str">
        <f t="shared" si="1"/>
        <v>Z007Z</v>
      </c>
      <c r="H14" s="13" t="s">
        <v>5</v>
      </c>
      <c r="I14" s="13"/>
      <c r="J14" s="13"/>
      <c r="K14" s="13"/>
      <c r="L14" s="29">
        <v>8000</v>
      </c>
      <c r="M14" s="29">
        <v>8050</v>
      </c>
      <c r="N14" s="29">
        <f t="shared" si="2"/>
        <v>50</v>
      </c>
      <c r="O14" s="29">
        <f t="shared" si="3"/>
        <v>50</v>
      </c>
      <c r="P14" s="15" t="s">
        <v>32</v>
      </c>
      <c r="Q14" s="15" t="s">
        <v>231</v>
      </c>
      <c r="R14" s="115">
        <v>0</v>
      </c>
      <c r="S14" s="104">
        <v>0</v>
      </c>
      <c r="T14" s="13">
        <f t="shared" si="4"/>
        <v>0</v>
      </c>
      <c r="U14" s="15" t="s">
        <v>18</v>
      </c>
      <c r="V14" s="15"/>
      <c r="W14" s="115">
        <v>0</v>
      </c>
      <c r="X14" s="115">
        <v>0</v>
      </c>
      <c r="Y14" s="13">
        <f t="shared" si="5"/>
        <v>0</v>
      </c>
      <c r="Z14" s="79">
        <v>0</v>
      </c>
      <c r="AA14" s="79">
        <v>0</v>
      </c>
      <c r="AB14" s="13" t="s">
        <v>12</v>
      </c>
      <c r="AC14" s="23">
        <v>0</v>
      </c>
      <c r="AD14" s="23">
        <v>0</v>
      </c>
      <c r="AE14" s="23">
        <v>0</v>
      </c>
      <c r="AF14" s="23">
        <v>9999</v>
      </c>
      <c r="AG14" s="14">
        <v>5</v>
      </c>
      <c r="AH14" s="23">
        <v>5</v>
      </c>
      <c r="AI14" s="23">
        <v>0</v>
      </c>
      <c r="AJ14" s="23">
        <f>AD14/AG14</f>
        <v>0</v>
      </c>
      <c r="AK14" s="23">
        <v>20</v>
      </c>
      <c r="AL14" s="80">
        <v>95</v>
      </c>
      <c r="AM14" s="23">
        <v>20</v>
      </c>
      <c r="AN14" s="23">
        <v>0</v>
      </c>
      <c r="AO14" s="23">
        <v>0</v>
      </c>
      <c r="AP14" s="23">
        <v>0</v>
      </c>
      <c r="AQ14" s="23">
        <v>0</v>
      </c>
      <c r="AR14" s="23">
        <v>0</v>
      </c>
      <c r="AS14" s="23">
        <v>0</v>
      </c>
      <c r="AT14" s="23">
        <v>0</v>
      </c>
      <c r="AU14" s="23">
        <v>0</v>
      </c>
      <c r="AV14" s="23">
        <v>0</v>
      </c>
      <c r="AW14" s="23">
        <v>2</v>
      </c>
      <c r="AX14" s="23">
        <v>0</v>
      </c>
      <c r="AY14" s="23">
        <v>0</v>
      </c>
      <c r="AZ14" s="23">
        <v>8</v>
      </c>
      <c r="BA14" s="29">
        <v>1</v>
      </c>
      <c r="BB14" s="23">
        <v>0</v>
      </c>
      <c r="BC14" s="23">
        <v>1</v>
      </c>
      <c r="BD14" s="23">
        <v>0.9</v>
      </c>
      <c r="BE14" s="23">
        <f>2*BI14</f>
        <v>24</v>
      </c>
      <c r="BF14" s="23">
        <v>0</v>
      </c>
      <c r="BG14" s="23">
        <v>0</v>
      </c>
      <c r="BH14" s="23">
        <v>0</v>
      </c>
      <c r="BI14" s="14">
        <v>12</v>
      </c>
      <c r="BJ14" s="14">
        <v>5</v>
      </c>
      <c r="BK14" s="14" t="s">
        <v>9</v>
      </c>
      <c r="BL14" s="23"/>
      <c r="BM14" s="14">
        <v>1</v>
      </c>
      <c r="BN14" s="14"/>
      <c r="BO14" s="14"/>
      <c r="BP14" s="14"/>
      <c r="BQ14" s="13"/>
      <c r="BR14" s="14"/>
      <c r="BS14" s="14"/>
      <c r="BT14" s="13"/>
      <c r="BU14" s="13"/>
      <c r="BV14" s="13"/>
      <c r="BW14" s="15"/>
      <c r="BX14" s="43" t="s">
        <v>225</v>
      </c>
      <c r="BY14" s="15">
        <v>4</v>
      </c>
      <c r="BZ14" s="51" t="s">
        <v>254</v>
      </c>
    </row>
    <row r="15" spans="1:78" s="68" customFormat="1" ht="26.25" thickBot="1" x14ac:dyDescent="0.25">
      <c r="A15" s="52">
        <v>8</v>
      </c>
      <c r="B15" s="29" t="str">
        <f t="shared" si="7"/>
        <v>EMITTER_08</v>
      </c>
      <c r="C15" s="53">
        <f t="shared" si="8"/>
        <v>40</v>
      </c>
      <c r="D15" s="12">
        <f t="shared" si="0"/>
        <v>8001</v>
      </c>
      <c r="E15" s="54">
        <v>1</v>
      </c>
      <c r="F15" s="55" t="s">
        <v>80</v>
      </c>
      <c r="G15" s="53" t="str">
        <f t="shared" si="1"/>
        <v>Z008Z</v>
      </c>
      <c r="H15" s="55" t="s">
        <v>24</v>
      </c>
      <c r="I15" s="55"/>
      <c r="J15" s="55"/>
      <c r="K15" s="55"/>
      <c r="L15" s="52">
        <v>5500</v>
      </c>
      <c r="M15" s="52">
        <v>5700</v>
      </c>
      <c r="N15" s="53">
        <f t="shared" si="2"/>
        <v>200</v>
      </c>
      <c r="O15" s="29">
        <f t="shared" si="3"/>
        <v>200</v>
      </c>
      <c r="P15" s="56" t="s">
        <v>6</v>
      </c>
      <c r="Q15" s="56"/>
      <c r="R15" s="114">
        <v>450</v>
      </c>
      <c r="S15" s="102">
        <v>510</v>
      </c>
      <c r="T15" s="55">
        <f t="shared" si="4"/>
        <v>60</v>
      </c>
      <c r="U15" s="56" t="s">
        <v>109</v>
      </c>
      <c r="V15" s="56" t="s">
        <v>111</v>
      </c>
      <c r="W15" s="114">
        <v>1</v>
      </c>
      <c r="X15" s="114">
        <v>4</v>
      </c>
      <c r="Y15" s="55">
        <f t="shared" si="5"/>
        <v>3</v>
      </c>
      <c r="Z15" s="55">
        <v>4</v>
      </c>
      <c r="AA15" s="55">
        <v>4</v>
      </c>
      <c r="AB15" s="62" t="s">
        <v>316</v>
      </c>
      <c r="AC15" s="57">
        <v>0</v>
      </c>
      <c r="AD15" s="57">
        <v>360</v>
      </c>
      <c r="AE15" s="57">
        <v>0</v>
      </c>
      <c r="AF15" s="57">
        <v>0</v>
      </c>
      <c r="AG15" s="52">
        <v>3</v>
      </c>
      <c r="AH15" s="57">
        <v>3</v>
      </c>
      <c r="AI15" s="57">
        <v>0</v>
      </c>
      <c r="AJ15" s="57">
        <v>0</v>
      </c>
      <c r="AK15" s="57">
        <v>0</v>
      </c>
      <c r="AL15" s="52">
        <v>100</v>
      </c>
      <c r="AM15" s="57">
        <v>25</v>
      </c>
      <c r="AN15" s="57">
        <v>0</v>
      </c>
      <c r="AO15" s="57">
        <v>0</v>
      </c>
      <c r="AP15" s="57">
        <v>0</v>
      </c>
      <c r="AQ15" s="57">
        <v>0</v>
      </c>
      <c r="AR15" s="57">
        <v>0</v>
      </c>
      <c r="AS15" s="57">
        <v>0</v>
      </c>
      <c r="AT15" s="57">
        <v>0</v>
      </c>
      <c r="AU15" s="57">
        <v>0</v>
      </c>
      <c r="AV15" s="57">
        <v>0</v>
      </c>
      <c r="AW15" s="57">
        <v>2</v>
      </c>
      <c r="AX15" s="57">
        <v>0</v>
      </c>
      <c r="AY15" s="57">
        <v>0</v>
      </c>
      <c r="AZ15" s="58">
        <v>0</v>
      </c>
      <c r="BA15" s="53">
        <v>1</v>
      </c>
      <c r="BB15" s="57">
        <v>0</v>
      </c>
      <c r="BC15" s="57">
        <v>1</v>
      </c>
      <c r="BD15" s="57">
        <v>0.9</v>
      </c>
      <c r="BE15" s="57">
        <v>30</v>
      </c>
      <c r="BF15" s="57">
        <v>0</v>
      </c>
      <c r="BG15" s="57">
        <v>0</v>
      </c>
      <c r="BH15" s="57">
        <v>0</v>
      </c>
      <c r="BI15" s="52" t="s">
        <v>133</v>
      </c>
      <c r="BJ15" s="52">
        <v>3</v>
      </c>
      <c r="BK15" s="52" t="s">
        <v>9</v>
      </c>
      <c r="BL15" s="65"/>
      <c r="BM15" s="52">
        <v>1</v>
      </c>
      <c r="BN15" s="52"/>
      <c r="BO15" s="52"/>
      <c r="BP15" s="52"/>
      <c r="BQ15" s="55"/>
      <c r="BR15" s="52"/>
      <c r="BS15" s="52"/>
      <c r="BT15" s="55"/>
      <c r="BU15" s="55"/>
      <c r="BV15" s="55"/>
      <c r="BW15" s="56"/>
      <c r="BX15" s="60" t="s">
        <v>226</v>
      </c>
      <c r="BY15" s="61" t="str">
        <f>"Approx "&amp;TEXT((2*AA15),0)&amp;" (2*SP)"</f>
        <v>Approx 8 (2*SP)</v>
      </c>
      <c r="BZ15" s="62" t="s">
        <v>254</v>
      </c>
    </row>
    <row r="16" spans="1:78" s="68" customFormat="1" ht="26.25" thickBot="1" x14ac:dyDescent="0.25">
      <c r="A16" s="52">
        <v>8</v>
      </c>
      <c r="B16" s="29" t="str">
        <f t="shared" si="7"/>
        <v>EMITTER_08</v>
      </c>
      <c r="C16" s="53">
        <f t="shared" si="8"/>
        <v>40</v>
      </c>
      <c r="D16" s="12">
        <f t="shared" si="0"/>
        <v>8002</v>
      </c>
      <c r="E16" s="54">
        <v>2</v>
      </c>
      <c r="F16" s="55" t="s">
        <v>80</v>
      </c>
      <c r="G16" s="53" t="str">
        <f t="shared" si="1"/>
        <v>Z008Z</v>
      </c>
      <c r="H16" s="55" t="s">
        <v>24</v>
      </c>
      <c r="I16" s="55"/>
      <c r="J16" s="55"/>
      <c r="K16" s="55"/>
      <c r="L16" s="52">
        <v>5700</v>
      </c>
      <c r="M16" s="52">
        <v>5800</v>
      </c>
      <c r="N16" s="53">
        <f t="shared" si="2"/>
        <v>100</v>
      </c>
      <c r="O16" s="29">
        <f t="shared" si="3"/>
        <v>100</v>
      </c>
      <c r="P16" s="56" t="s">
        <v>6</v>
      </c>
      <c r="Q16" s="56"/>
      <c r="R16" s="114">
        <v>450</v>
      </c>
      <c r="S16" s="102">
        <v>510</v>
      </c>
      <c r="T16" s="55">
        <f t="shared" si="4"/>
        <v>60</v>
      </c>
      <c r="U16" s="56" t="s">
        <v>109</v>
      </c>
      <c r="V16" s="56" t="s">
        <v>111</v>
      </c>
      <c r="W16" s="114">
        <v>1</v>
      </c>
      <c r="X16" s="114">
        <v>4</v>
      </c>
      <c r="Y16" s="55">
        <f t="shared" si="5"/>
        <v>3</v>
      </c>
      <c r="Z16" s="55">
        <v>4</v>
      </c>
      <c r="AA16" s="55">
        <v>4</v>
      </c>
      <c r="AB16" s="59" t="s">
        <v>316</v>
      </c>
      <c r="AC16" s="57">
        <v>0</v>
      </c>
      <c r="AD16" s="58">
        <v>30</v>
      </c>
      <c r="AE16" s="57">
        <v>0</v>
      </c>
      <c r="AF16" s="57">
        <v>0</v>
      </c>
      <c r="AG16" s="52">
        <v>3</v>
      </c>
      <c r="AH16" s="57">
        <v>3</v>
      </c>
      <c r="AI16" s="57">
        <v>0</v>
      </c>
      <c r="AJ16" s="57">
        <v>0</v>
      </c>
      <c r="AK16" s="57">
        <v>0</v>
      </c>
      <c r="AL16" s="52">
        <v>100</v>
      </c>
      <c r="AM16" s="57">
        <v>25</v>
      </c>
      <c r="AN16" s="57">
        <v>0</v>
      </c>
      <c r="AO16" s="57">
        <v>0</v>
      </c>
      <c r="AP16" s="57">
        <v>0</v>
      </c>
      <c r="AQ16" s="57">
        <v>0</v>
      </c>
      <c r="AR16" s="57">
        <v>0</v>
      </c>
      <c r="AS16" s="57">
        <v>0</v>
      </c>
      <c r="AT16" s="57">
        <v>0</v>
      </c>
      <c r="AU16" s="57">
        <v>0</v>
      </c>
      <c r="AV16" s="57">
        <v>0</v>
      </c>
      <c r="AW16" s="57">
        <v>2</v>
      </c>
      <c r="AX16" s="57">
        <v>0</v>
      </c>
      <c r="AY16" s="57">
        <v>0</v>
      </c>
      <c r="AZ16" s="58">
        <v>0</v>
      </c>
      <c r="BA16" s="53">
        <v>1</v>
      </c>
      <c r="BB16" s="57">
        <v>0</v>
      </c>
      <c r="BC16" s="57">
        <v>1</v>
      </c>
      <c r="BD16" s="57">
        <v>0.9</v>
      </c>
      <c r="BE16" s="57">
        <v>30</v>
      </c>
      <c r="BF16" s="57">
        <v>0</v>
      </c>
      <c r="BG16" s="57">
        <v>0</v>
      </c>
      <c r="BH16" s="57">
        <v>0</v>
      </c>
      <c r="BI16" s="52" t="s">
        <v>133</v>
      </c>
      <c r="BJ16" s="52">
        <v>3</v>
      </c>
      <c r="BK16" s="52" t="s">
        <v>9</v>
      </c>
      <c r="BL16" s="65"/>
      <c r="BM16" s="52">
        <v>1</v>
      </c>
      <c r="BN16" s="52"/>
      <c r="BO16" s="52"/>
      <c r="BP16" s="52"/>
      <c r="BQ16" s="55"/>
      <c r="BR16" s="52"/>
      <c r="BS16" s="52"/>
      <c r="BT16" s="55"/>
      <c r="BU16" s="55"/>
      <c r="BV16" s="55"/>
      <c r="BW16" s="56"/>
      <c r="BX16" s="60" t="s">
        <v>226</v>
      </c>
      <c r="BY16" s="61" t="str">
        <f>"Approx "&amp;TEXT((2*AA16),0)&amp;" (2*SP)"</f>
        <v>Approx 8 (2*SP)</v>
      </c>
      <c r="BZ16" s="62" t="s">
        <v>254</v>
      </c>
    </row>
    <row r="17" spans="1:78" s="68" customFormat="1" ht="26.25" thickBot="1" x14ac:dyDescent="0.25">
      <c r="A17" s="52">
        <v>8</v>
      </c>
      <c r="B17" s="29" t="str">
        <f t="shared" si="7"/>
        <v>EMITTER_08</v>
      </c>
      <c r="C17" s="53">
        <f t="shared" si="8"/>
        <v>40</v>
      </c>
      <c r="D17" s="12">
        <f t="shared" si="0"/>
        <v>8003</v>
      </c>
      <c r="E17" s="54">
        <v>3</v>
      </c>
      <c r="F17" s="55" t="s">
        <v>80</v>
      </c>
      <c r="G17" s="53" t="str">
        <f t="shared" si="1"/>
        <v>Z008Z</v>
      </c>
      <c r="H17" s="55" t="s">
        <v>5</v>
      </c>
      <c r="I17" s="55"/>
      <c r="J17" s="55"/>
      <c r="K17" s="55"/>
      <c r="L17" s="52">
        <v>5810</v>
      </c>
      <c r="M17" s="52">
        <v>5900</v>
      </c>
      <c r="N17" s="53">
        <f t="shared" si="2"/>
        <v>90</v>
      </c>
      <c r="O17" s="29">
        <f t="shared" si="3"/>
        <v>90</v>
      </c>
      <c r="P17" s="56" t="s">
        <v>6</v>
      </c>
      <c r="Q17" s="56"/>
      <c r="R17" s="114">
        <v>450</v>
      </c>
      <c r="S17" s="102">
        <v>510</v>
      </c>
      <c r="T17" s="55">
        <f t="shared" si="4"/>
        <v>60</v>
      </c>
      <c r="U17" s="56" t="s">
        <v>109</v>
      </c>
      <c r="V17" s="56" t="s">
        <v>111</v>
      </c>
      <c r="W17" s="114">
        <v>1</v>
      </c>
      <c r="X17" s="114">
        <v>4</v>
      </c>
      <c r="Y17" s="55">
        <f t="shared" si="5"/>
        <v>3</v>
      </c>
      <c r="Z17" s="66">
        <v>0</v>
      </c>
      <c r="AA17" s="66">
        <v>0</v>
      </c>
      <c r="AB17" s="66" t="s">
        <v>12</v>
      </c>
      <c r="AC17" s="57">
        <v>0</v>
      </c>
      <c r="AD17" s="58">
        <v>0</v>
      </c>
      <c r="AE17" s="57">
        <v>0</v>
      </c>
      <c r="AF17" s="57">
        <v>0</v>
      </c>
      <c r="AG17" s="52">
        <v>3</v>
      </c>
      <c r="AH17" s="57">
        <v>3</v>
      </c>
      <c r="AI17" s="57">
        <v>0</v>
      </c>
      <c r="AJ17" s="57">
        <v>0</v>
      </c>
      <c r="AK17" s="57">
        <v>0</v>
      </c>
      <c r="AL17" s="52">
        <v>100</v>
      </c>
      <c r="AM17" s="57">
        <v>25</v>
      </c>
      <c r="AN17" s="57">
        <v>0</v>
      </c>
      <c r="AO17" s="57">
        <v>0</v>
      </c>
      <c r="AP17" s="57">
        <v>0</v>
      </c>
      <c r="AQ17" s="57">
        <v>0</v>
      </c>
      <c r="AR17" s="57">
        <v>0</v>
      </c>
      <c r="AS17" s="57">
        <v>0</v>
      </c>
      <c r="AT17" s="57">
        <v>0</v>
      </c>
      <c r="AU17" s="57">
        <v>0</v>
      </c>
      <c r="AV17" s="57">
        <v>0</v>
      </c>
      <c r="AW17" s="57">
        <v>2</v>
      </c>
      <c r="AX17" s="57">
        <v>0</v>
      </c>
      <c r="AY17" s="57">
        <v>0</v>
      </c>
      <c r="AZ17" s="57">
        <v>8</v>
      </c>
      <c r="BA17" s="53">
        <v>1</v>
      </c>
      <c r="BB17" s="57">
        <v>0</v>
      </c>
      <c r="BC17" s="57">
        <v>1</v>
      </c>
      <c r="BD17" s="57">
        <v>0.9</v>
      </c>
      <c r="BE17" s="57">
        <v>30</v>
      </c>
      <c r="BF17" s="57">
        <v>0</v>
      </c>
      <c r="BG17" s="57">
        <v>0</v>
      </c>
      <c r="BH17" s="57">
        <v>0</v>
      </c>
      <c r="BI17" s="52" t="s">
        <v>133</v>
      </c>
      <c r="BJ17" s="52">
        <v>3</v>
      </c>
      <c r="BK17" s="52" t="s">
        <v>9</v>
      </c>
      <c r="BL17" s="65"/>
      <c r="BM17" s="52">
        <v>1</v>
      </c>
      <c r="BN17" s="52"/>
      <c r="BO17" s="52"/>
      <c r="BP17" s="52"/>
      <c r="BQ17" s="55"/>
      <c r="BR17" s="52"/>
      <c r="BS17" s="52"/>
      <c r="BT17" s="55"/>
      <c r="BU17" s="55"/>
      <c r="BV17" s="55"/>
      <c r="BW17" s="56"/>
      <c r="BX17" s="70" t="s">
        <v>226</v>
      </c>
      <c r="BY17" s="56">
        <v>4</v>
      </c>
      <c r="BZ17" s="62" t="s">
        <v>254</v>
      </c>
    </row>
    <row r="18" spans="1:78" s="24" customFormat="1" ht="39" thickBot="1" x14ac:dyDescent="0.25">
      <c r="A18" s="14">
        <v>9</v>
      </c>
      <c r="B18" s="29" t="str">
        <f t="shared" si="7"/>
        <v>EMITTER_09</v>
      </c>
      <c r="C18" s="29">
        <f t="shared" si="8"/>
        <v>45</v>
      </c>
      <c r="D18" s="12">
        <f t="shared" si="0"/>
        <v>9001</v>
      </c>
      <c r="E18" s="12">
        <v>1</v>
      </c>
      <c r="F18" s="13" t="s">
        <v>55</v>
      </c>
      <c r="G18" s="29" t="str">
        <f>"Z10"&amp;TEXT(A18,"0")&amp;"A"</f>
        <v>Z109A</v>
      </c>
      <c r="H18" s="13" t="s">
        <v>24</v>
      </c>
      <c r="I18" s="13"/>
      <c r="J18" s="13"/>
      <c r="K18" s="13"/>
      <c r="L18" s="14">
        <v>7500</v>
      </c>
      <c r="M18" s="14">
        <v>8000</v>
      </c>
      <c r="N18" s="29">
        <f t="shared" si="2"/>
        <v>500</v>
      </c>
      <c r="O18" s="29">
        <f t="shared" si="3"/>
        <v>500</v>
      </c>
      <c r="P18" s="15" t="s">
        <v>32</v>
      </c>
      <c r="Q18" s="15" t="s">
        <v>96</v>
      </c>
      <c r="R18" s="113">
        <v>250</v>
      </c>
      <c r="S18" s="101">
        <v>280</v>
      </c>
      <c r="T18" s="13">
        <f t="shared" si="4"/>
        <v>30</v>
      </c>
      <c r="U18" s="15" t="s">
        <v>11</v>
      </c>
      <c r="V18" s="15" t="s">
        <v>112</v>
      </c>
      <c r="W18" s="113">
        <v>11</v>
      </c>
      <c r="X18" s="113">
        <v>15</v>
      </c>
      <c r="Y18" s="13">
        <f t="shared" si="5"/>
        <v>4</v>
      </c>
      <c r="Z18" s="79">
        <v>3.05</v>
      </c>
      <c r="AA18" s="79">
        <v>3.05</v>
      </c>
      <c r="AB18" s="39" t="s">
        <v>323</v>
      </c>
      <c r="AC18" s="23">
        <v>0</v>
      </c>
      <c r="AD18" s="23">
        <v>120</v>
      </c>
      <c r="AE18" s="23">
        <v>0</v>
      </c>
      <c r="AF18" s="47">
        <v>21.2</v>
      </c>
      <c r="AG18" s="14">
        <v>5</v>
      </c>
      <c r="AH18" s="23">
        <v>5</v>
      </c>
      <c r="AI18" s="47">
        <v>5</v>
      </c>
      <c r="AJ18" s="23">
        <f>AD18/AG18</f>
        <v>24</v>
      </c>
      <c r="AK18" s="23">
        <v>500</v>
      </c>
      <c r="AL18" s="14">
        <v>120</v>
      </c>
      <c r="AM18" s="23">
        <v>20</v>
      </c>
      <c r="AN18" s="23">
        <v>0</v>
      </c>
      <c r="AO18" s="23">
        <v>0</v>
      </c>
      <c r="AP18" s="23">
        <v>0</v>
      </c>
      <c r="AQ18" s="23">
        <v>0</v>
      </c>
      <c r="AR18" s="47">
        <v>6</v>
      </c>
      <c r="AS18" s="47">
        <v>30</v>
      </c>
      <c r="AT18" s="23">
        <v>0</v>
      </c>
      <c r="AU18" s="23">
        <v>0</v>
      </c>
      <c r="AV18" s="23">
        <v>0</v>
      </c>
      <c r="AW18" s="23">
        <v>2</v>
      </c>
      <c r="AX18" s="23">
        <v>0</v>
      </c>
      <c r="AY18" s="23">
        <v>0</v>
      </c>
      <c r="AZ18" s="49">
        <v>1</v>
      </c>
      <c r="BA18" s="29">
        <v>1</v>
      </c>
      <c r="BB18" s="23">
        <v>1</v>
      </c>
      <c r="BC18" s="23">
        <v>1</v>
      </c>
      <c r="BD18" s="23">
        <v>0.9</v>
      </c>
      <c r="BE18" s="23">
        <f t="shared" ref="BE18:BE28" si="9">2*BI18</f>
        <v>28</v>
      </c>
      <c r="BF18" s="23">
        <v>0</v>
      </c>
      <c r="BG18" s="23">
        <v>0</v>
      </c>
      <c r="BH18" s="23">
        <v>0</v>
      </c>
      <c r="BI18" s="14">
        <v>14</v>
      </c>
      <c r="BJ18" s="14">
        <v>5</v>
      </c>
      <c r="BK18" s="14" t="s">
        <v>9</v>
      </c>
      <c r="BL18" s="23"/>
      <c r="BM18" s="14">
        <v>1</v>
      </c>
      <c r="BN18" s="14"/>
      <c r="BO18" s="14"/>
      <c r="BP18" s="14"/>
      <c r="BQ18" s="13"/>
      <c r="BR18" s="14"/>
      <c r="BS18" s="14"/>
      <c r="BT18" s="13"/>
      <c r="BU18" s="13"/>
      <c r="BV18" s="13"/>
      <c r="BW18" s="15" t="s">
        <v>138</v>
      </c>
      <c r="BX18" s="43" t="s">
        <v>226</v>
      </c>
      <c r="BY18" s="50" t="str">
        <f>"Approx "&amp;TEXT((2*AA18),0)&amp;" (2*SP)"</f>
        <v>Approx 6 (2*SP)</v>
      </c>
      <c r="BZ18" s="51" t="s">
        <v>255</v>
      </c>
    </row>
    <row r="19" spans="1:78" s="20" customFormat="1" ht="80.25" customHeight="1" thickBot="1" x14ac:dyDescent="0.25">
      <c r="A19" s="14">
        <v>9</v>
      </c>
      <c r="B19" s="29" t="str">
        <f t="shared" si="7"/>
        <v>EMITTER_09</v>
      </c>
      <c r="C19" s="29">
        <f t="shared" si="8"/>
        <v>45</v>
      </c>
      <c r="D19" s="12">
        <f t="shared" si="0"/>
        <v>9002</v>
      </c>
      <c r="E19" s="12">
        <v>2</v>
      </c>
      <c r="F19" s="13" t="s">
        <v>55</v>
      </c>
      <c r="G19" s="29" t="str">
        <f>"Z10"&amp;TEXT(A19,"0")&amp;"A"</f>
        <v>Z109A</v>
      </c>
      <c r="H19" s="13" t="s">
        <v>24</v>
      </c>
      <c r="I19" s="13"/>
      <c r="J19" s="13"/>
      <c r="K19" s="13"/>
      <c r="L19" s="14">
        <v>7500</v>
      </c>
      <c r="M19" s="14">
        <v>8000</v>
      </c>
      <c r="N19" s="29">
        <f t="shared" si="2"/>
        <v>500</v>
      </c>
      <c r="O19" s="29">
        <f t="shared" si="3"/>
        <v>500</v>
      </c>
      <c r="P19" s="15" t="s">
        <v>32</v>
      </c>
      <c r="Q19" s="15" t="s">
        <v>96</v>
      </c>
      <c r="R19" s="113">
        <v>222</v>
      </c>
      <c r="S19" s="101">
        <v>233</v>
      </c>
      <c r="T19" s="13">
        <f t="shared" si="4"/>
        <v>11</v>
      </c>
      <c r="U19" s="15" t="s">
        <v>6</v>
      </c>
      <c r="V19" s="15"/>
      <c r="W19" s="113">
        <v>11</v>
      </c>
      <c r="X19" s="113">
        <v>15</v>
      </c>
      <c r="Y19" s="13">
        <f t="shared" si="5"/>
        <v>4</v>
      </c>
      <c r="Z19" s="79">
        <v>2.68</v>
      </c>
      <c r="AA19" s="79">
        <v>2.68</v>
      </c>
      <c r="AB19" s="39" t="s">
        <v>323</v>
      </c>
      <c r="AC19" s="23">
        <v>0</v>
      </c>
      <c r="AD19" s="23">
        <v>120</v>
      </c>
      <c r="AE19" s="23">
        <v>0</v>
      </c>
      <c r="AF19" s="47">
        <v>18.64</v>
      </c>
      <c r="AG19" s="14">
        <v>5</v>
      </c>
      <c r="AH19" s="23">
        <v>5</v>
      </c>
      <c r="AI19" s="47">
        <v>5</v>
      </c>
      <c r="AJ19" s="23">
        <f>AD19/AG19</f>
        <v>24</v>
      </c>
      <c r="AK19" s="23">
        <v>500</v>
      </c>
      <c r="AL19" s="14">
        <v>120</v>
      </c>
      <c r="AM19" s="23">
        <v>20</v>
      </c>
      <c r="AN19" s="23">
        <v>0</v>
      </c>
      <c r="AO19" s="23">
        <v>0</v>
      </c>
      <c r="AP19" s="23">
        <v>0</v>
      </c>
      <c r="AQ19" s="23">
        <v>0</v>
      </c>
      <c r="AR19" s="47">
        <v>6</v>
      </c>
      <c r="AS19" s="47">
        <v>30</v>
      </c>
      <c r="AT19" s="23">
        <v>0</v>
      </c>
      <c r="AU19" s="23">
        <v>0</v>
      </c>
      <c r="AV19" s="23">
        <v>0</v>
      </c>
      <c r="AW19" s="23">
        <v>2</v>
      </c>
      <c r="AX19" s="23">
        <v>0</v>
      </c>
      <c r="AY19" s="23">
        <v>0</v>
      </c>
      <c r="AZ19" s="49">
        <v>1</v>
      </c>
      <c r="BA19" s="29">
        <v>1</v>
      </c>
      <c r="BB19" s="23">
        <v>1</v>
      </c>
      <c r="BC19" s="23">
        <v>1</v>
      </c>
      <c r="BD19" s="23">
        <v>0.9</v>
      </c>
      <c r="BE19" s="23">
        <f t="shared" si="9"/>
        <v>28</v>
      </c>
      <c r="BF19" s="23">
        <v>0</v>
      </c>
      <c r="BG19" s="23">
        <v>0</v>
      </c>
      <c r="BH19" s="23">
        <v>0</v>
      </c>
      <c r="BI19" s="14">
        <v>14</v>
      </c>
      <c r="BJ19" s="14">
        <v>5</v>
      </c>
      <c r="BK19" s="14" t="s">
        <v>9</v>
      </c>
      <c r="BL19" s="23"/>
      <c r="BM19" s="14">
        <v>1</v>
      </c>
      <c r="BN19" s="14"/>
      <c r="BO19" s="14"/>
      <c r="BP19" s="14"/>
      <c r="BQ19" s="13"/>
      <c r="BR19" s="14">
        <v>1</v>
      </c>
      <c r="BS19" s="14"/>
      <c r="BT19" s="13"/>
      <c r="BU19" s="13"/>
      <c r="BV19" s="13"/>
      <c r="BW19" s="39" t="s">
        <v>232</v>
      </c>
      <c r="BX19" s="43" t="s">
        <v>225</v>
      </c>
      <c r="BY19" s="50">
        <v>2</v>
      </c>
      <c r="BZ19" s="51" t="s">
        <v>255</v>
      </c>
    </row>
    <row r="20" spans="1:78" s="25" customFormat="1" ht="77.25" thickBot="1" x14ac:dyDescent="0.25">
      <c r="A20" s="14">
        <v>9</v>
      </c>
      <c r="B20" s="29" t="str">
        <f t="shared" si="7"/>
        <v>EMITTER_09</v>
      </c>
      <c r="C20" s="29">
        <f t="shared" si="8"/>
        <v>45</v>
      </c>
      <c r="D20" s="12">
        <f t="shared" si="0"/>
        <v>9001</v>
      </c>
      <c r="E20" s="12">
        <v>1</v>
      </c>
      <c r="F20" s="13" t="s">
        <v>78</v>
      </c>
      <c r="G20" s="29" t="str">
        <f>"Z110"&amp;"A"</f>
        <v>Z110A</v>
      </c>
      <c r="H20" s="13" t="s">
        <v>14</v>
      </c>
      <c r="I20" s="13"/>
      <c r="J20" s="13"/>
      <c r="K20" s="13"/>
      <c r="L20" s="14">
        <v>15000</v>
      </c>
      <c r="M20" s="14">
        <v>15240</v>
      </c>
      <c r="N20" s="29">
        <f t="shared" si="2"/>
        <v>240</v>
      </c>
      <c r="O20" s="29">
        <f t="shared" si="3"/>
        <v>240</v>
      </c>
      <c r="P20" s="15" t="s">
        <v>6</v>
      </c>
      <c r="Q20" s="15"/>
      <c r="R20" s="116">
        <v>90</v>
      </c>
      <c r="S20" s="101">
        <v>100</v>
      </c>
      <c r="T20" s="13">
        <f t="shared" si="4"/>
        <v>10</v>
      </c>
      <c r="U20" s="39" t="s">
        <v>6</v>
      </c>
      <c r="V20" s="15" t="s">
        <v>233</v>
      </c>
      <c r="W20" s="113">
        <v>1</v>
      </c>
      <c r="X20" s="113">
        <v>2</v>
      </c>
      <c r="Y20" s="13">
        <f t="shared" si="5"/>
        <v>1</v>
      </c>
      <c r="Z20" s="13">
        <v>0</v>
      </c>
      <c r="AA20" s="13">
        <v>0</v>
      </c>
      <c r="AB20" s="13" t="s">
        <v>12</v>
      </c>
      <c r="AC20" s="23">
        <v>0</v>
      </c>
      <c r="AD20" s="23">
        <v>0</v>
      </c>
      <c r="AE20" s="23">
        <v>0</v>
      </c>
      <c r="AF20" s="23">
        <v>9999</v>
      </c>
      <c r="AG20" s="14">
        <v>5</v>
      </c>
      <c r="AH20" s="23">
        <v>5</v>
      </c>
      <c r="AI20" s="23">
        <v>0</v>
      </c>
      <c r="AJ20" s="23">
        <f>AD20/AG20</f>
        <v>0</v>
      </c>
      <c r="AK20" s="23">
        <v>0</v>
      </c>
      <c r="AL20" s="14">
        <v>120</v>
      </c>
      <c r="AM20" s="23">
        <v>20</v>
      </c>
      <c r="AN20" s="23">
        <v>0</v>
      </c>
      <c r="AO20" s="23">
        <v>0</v>
      </c>
      <c r="AP20" s="23">
        <v>0</v>
      </c>
      <c r="AQ20" s="23">
        <v>0</v>
      </c>
      <c r="AR20" s="23">
        <v>0</v>
      </c>
      <c r="AS20" s="23">
        <v>0</v>
      </c>
      <c r="AT20" s="23">
        <v>0</v>
      </c>
      <c r="AU20" s="23">
        <v>0</v>
      </c>
      <c r="AV20" s="23">
        <v>0</v>
      </c>
      <c r="AW20" s="23">
        <v>2</v>
      </c>
      <c r="AX20" s="23">
        <v>0</v>
      </c>
      <c r="AY20" s="23">
        <v>0</v>
      </c>
      <c r="AZ20" s="23">
        <v>8</v>
      </c>
      <c r="BA20" s="29">
        <v>1</v>
      </c>
      <c r="BB20" s="23">
        <v>1</v>
      </c>
      <c r="BC20" s="23">
        <v>1</v>
      </c>
      <c r="BD20" s="23">
        <v>0.9</v>
      </c>
      <c r="BE20" s="23">
        <f t="shared" si="9"/>
        <v>28</v>
      </c>
      <c r="BF20" s="23">
        <v>0</v>
      </c>
      <c r="BG20" s="23">
        <v>0</v>
      </c>
      <c r="BH20" s="23">
        <v>0</v>
      </c>
      <c r="BI20" s="14">
        <v>14</v>
      </c>
      <c r="BJ20" s="14">
        <v>5</v>
      </c>
      <c r="BK20" s="14" t="s">
        <v>9</v>
      </c>
      <c r="BL20" s="23"/>
      <c r="BM20" s="14">
        <v>1</v>
      </c>
      <c r="BN20" s="14"/>
      <c r="BO20" s="14"/>
      <c r="BP20" s="14"/>
      <c r="BQ20" s="13"/>
      <c r="BR20" s="14"/>
      <c r="BS20" s="14"/>
      <c r="BT20" s="13"/>
      <c r="BU20" s="13"/>
      <c r="BV20" s="13"/>
      <c r="BW20" s="15"/>
      <c r="BX20" s="43" t="s">
        <v>226</v>
      </c>
      <c r="BY20" s="50" t="str">
        <f>"Approx "&amp;TEXT((2*AA20),0)&amp;" (2*SP)"</f>
        <v>Approx 0 (2*SP)</v>
      </c>
      <c r="BZ20" s="51" t="s">
        <v>255</v>
      </c>
    </row>
    <row r="21" spans="1:78" s="71" customFormat="1" ht="26.25" thickBot="1" x14ac:dyDescent="0.25">
      <c r="A21" s="52">
        <v>10</v>
      </c>
      <c r="B21" s="53" t="str">
        <f t="shared" ref="B21:B33" si="10">"EMITTER_"&amp;TEXT(A21,"0")</f>
        <v>EMITTER_10</v>
      </c>
      <c r="C21" s="53">
        <f t="shared" si="8"/>
        <v>50</v>
      </c>
      <c r="D21" s="12">
        <f t="shared" si="0"/>
        <v>10001</v>
      </c>
      <c r="E21" s="54">
        <v>1</v>
      </c>
      <c r="F21" s="55" t="s">
        <v>55</v>
      </c>
      <c r="G21" s="52" t="s">
        <v>152</v>
      </c>
      <c r="H21" s="55" t="s">
        <v>20</v>
      </c>
      <c r="I21" s="55"/>
      <c r="J21" s="55"/>
      <c r="K21" s="55"/>
      <c r="L21" s="52">
        <v>7000</v>
      </c>
      <c r="M21" s="52">
        <v>7200</v>
      </c>
      <c r="N21" s="53">
        <f t="shared" si="2"/>
        <v>200</v>
      </c>
      <c r="O21" s="29">
        <f t="shared" si="3"/>
        <v>200</v>
      </c>
      <c r="P21" s="56" t="s">
        <v>6</v>
      </c>
      <c r="Q21" s="56"/>
      <c r="R21" s="114">
        <v>300</v>
      </c>
      <c r="S21" s="102">
        <v>400</v>
      </c>
      <c r="T21" s="55">
        <f t="shared" si="4"/>
        <v>100</v>
      </c>
      <c r="U21" s="56" t="s">
        <v>6</v>
      </c>
      <c r="V21" s="56"/>
      <c r="W21" s="114">
        <v>0.3</v>
      </c>
      <c r="X21" s="114">
        <v>0.4</v>
      </c>
      <c r="Y21" s="55">
        <f t="shared" si="5"/>
        <v>0.10000000000000003</v>
      </c>
      <c r="Z21" s="55">
        <v>2</v>
      </c>
      <c r="AA21" s="55">
        <v>2</v>
      </c>
      <c r="AB21" s="59" t="s">
        <v>316</v>
      </c>
      <c r="AC21" s="57">
        <v>0</v>
      </c>
      <c r="AD21" s="58">
        <v>100</v>
      </c>
      <c r="AE21" s="57">
        <v>0</v>
      </c>
      <c r="AF21" s="57">
        <v>0</v>
      </c>
      <c r="AG21" s="52">
        <v>3</v>
      </c>
      <c r="AH21" s="57">
        <v>3</v>
      </c>
      <c r="AI21" s="57">
        <v>0</v>
      </c>
      <c r="AJ21" s="57">
        <v>0</v>
      </c>
      <c r="AK21" s="57">
        <v>0</v>
      </c>
      <c r="AL21" s="52">
        <v>100</v>
      </c>
      <c r="AM21" s="57">
        <v>25</v>
      </c>
      <c r="AN21" s="57">
        <v>0</v>
      </c>
      <c r="AO21" s="57">
        <v>0</v>
      </c>
      <c r="AP21" s="57">
        <v>0</v>
      </c>
      <c r="AQ21" s="57">
        <v>0</v>
      </c>
      <c r="AR21" s="58">
        <v>0</v>
      </c>
      <c r="AS21" s="58">
        <v>0</v>
      </c>
      <c r="AT21" s="57">
        <v>0</v>
      </c>
      <c r="AU21" s="57">
        <v>0</v>
      </c>
      <c r="AV21" s="57">
        <v>0</v>
      </c>
      <c r="AW21" s="57">
        <v>5</v>
      </c>
      <c r="AX21" s="57">
        <v>0</v>
      </c>
      <c r="AY21" s="57">
        <v>1</v>
      </c>
      <c r="AZ21" s="58">
        <v>0</v>
      </c>
      <c r="BA21" s="53">
        <v>1</v>
      </c>
      <c r="BB21" s="57">
        <v>1</v>
      </c>
      <c r="BC21" s="57">
        <v>0</v>
      </c>
      <c r="BD21" s="57">
        <v>0.9</v>
      </c>
      <c r="BE21" s="57">
        <f t="shared" si="9"/>
        <v>24</v>
      </c>
      <c r="BF21" s="57">
        <v>0</v>
      </c>
      <c r="BG21" s="57">
        <v>0</v>
      </c>
      <c r="BH21" s="57">
        <v>0</v>
      </c>
      <c r="BI21" s="52">
        <v>12</v>
      </c>
      <c r="BJ21" s="52">
        <v>3</v>
      </c>
      <c r="BK21" s="52" t="s">
        <v>9</v>
      </c>
      <c r="BL21" s="65"/>
      <c r="BM21" s="52">
        <v>1</v>
      </c>
      <c r="BN21" s="52"/>
      <c r="BO21" s="52"/>
      <c r="BP21" s="52"/>
      <c r="BQ21" s="55"/>
      <c r="BR21" s="52"/>
      <c r="BS21" s="52"/>
      <c r="BT21" s="55"/>
      <c r="BU21" s="55"/>
      <c r="BV21" s="55"/>
      <c r="BW21" s="56"/>
      <c r="BX21" s="60" t="s">
        <v>226</v>
      </c>
      <c r="BY21" s="61" t="str">
        <f>"Approx "&amp;TEXT((2*AA21),0)&amp;" (2*SP)"</f>
        <v>Approx 4 (2*SP)</v>
      </c>
      <c r="BZ21" s="62" t="s">
        <v>255</v>
      </c>
    </row>
    <row r="22" spans="1:78" s="71" customFormat="1" ht="77.25" thickBot="1" x14ac:dyDescent="0.25">
      <c r="A22" s="52">
        <v>10</v>
      </c>
      <c r="B22" s="53" t="str">
        <f t="shared" si="10"/>
        <v>EMITTER_10</v>
      </c>
      <c r="C22" s="53">
        <f t="shared" si="8"/>
        <v>50</v>
      </c>
      <c r="D22" s="12">
        <f t="shared" si="0"/>
        <v>10003</v>
      </c>
      <c r="E22" s="54">
        <v>3</v>
      </c>
      <c r="F22" s="55" t="s">
        <v>56</v>
      </c>
      <c r="G22" s="52" t="s">
        <v>154</v>
      </c>
      <c r="H22" s="55" t="s">
        <v>17</v>
      </c>
      <c r="I22" s="55"/>
      <c r="J22" s="55"/>
      <c r="K22" s="55"/>
      <c r="L22" s="52">
        <v>12000</v>
      </c>
      <c r="M22" s="52">
        <v>12010</v>
      </c>
      <c r="N22" s="53">
        <f t="shared" si="2"/>
        <v>10</v>
      </c>
      <c r="O22" s="29">
        <f t="shared" si="3"/>
        <v>10</v>
      </c>
      <c r="P22" s="56" t="s">
        <v>6</v>
      </c>
      <c r="Q22" s="56"/>
      <c r="R22" s="114">
        <v>1550</v>
      </c>
      <c r="S22" s="102">
        <v>1580</v>
      </c>
      <c r="T22" s="55">
        <f t="shared" si="4"/>
        <v>30</v>
      </c>
      <c r="U22" s="64" t="s">
        <v>6</v>
      </c>
      <c r="V22" s="56" t="s">
        <v>234</v>
      </c>
      <c r="W22" s="114">
        <v>3</v>
      </c>
      <c r="X22" s="114">
        <v>3.5</v>
      </c>
      <c r="Y22" s="55">
        <f t="shared" si="5"/>
        <v>0.5</v>
      </c>
      <c r="Z22" s="55">
        <v>0</v>
      </c>
      <c r="AA22" s="55">
        <v>0</v>
      </c>
      <c r="AB22" s="55" t="s">
        <v>12</v>
      </c>
      <c r="AC22" s="57">
        <v>0</v>
      </c>
      <c r="AD22" s="58">
        <v>0</v>
      </c>
      <c r="AE22" s="57">
        <v>0</v>
      </c>
      <c r="AF22" s="57">
        <v>9999</v>
      </c>
      <c r="AG22" s="52">
        <v>3</v>
      </c>
      <c r="AH22" s="57">
        <v>3</v>
      </c>
      <c r="AI22" s="57">
        <v>0</v>
      </c>
      <c r="AJ22" s="57">
        <v>0</v>
      </c>
      <c r="AK22" s="57">
        <v>0</v>
      </c>
      <c r="AL22" s="69">
        <v>104</v>
      </c>
      <c r="AM22" s="57">
        <v>25</v>
      </c>
      <c r="AN22" s="57">
        <v>0</v>
      </c>
      <c r="AO22" s="57">
        <v>0</v>
      </c>
      <c r="AP22" s="57">
        <v>0</v>
      </c>
      <c r="AQ22" s="57">
        <v>0</v>
      </c>
      <c r="AR22" s="57">
        <v>10</v>
      </c>
      <c r="AS22" s="57">
        <v>3</v>
      </c>
      <c r="AT22" s="57">
        <v>0</v>
      </c>
      <c r="AU22" s="57">
        <v>0</v>
      </c>
      <c r="AV22" s="57">
        <v>0</v>
      </c>
      <c r="AW22" s="57">
        <v>5</v>
      </c>
      <c r="AX22" s="57">
        <v>0</v>
      </c>
      <c r="AY22" s="57">
        <v>1</v>
      </c>
      <c r="AZ22" s="57">
        <v>8</v>
      </c>
      <c r="BA22" s="53">
        <v>1</v>
      </c>
      <c r="BB22" s="57">
        <v>1</v>
      </c>
      <c r="BC22" s="57">
        <v>0</v>
      </c>
      <c r="BD22" s="57">
        <v>0.9</v>
      </c>
      <c r="BE22" s="57">
        <f t="shared" si="9"/>
        <v>24</v>
      </c>
      <c r="BF22" s="57">
        <v>0</v>
      </c>
      <c r="BG22" s="57">
        <v>0</v>
      </c>
      <c r="BH22" s="57">
        <v>0</v>
      </c>
      <c r="BI22" s="52">
        <v>12</v>
      </c>
      <c r="BJ22" s="52">
        <v>3</v>
      </c>
      <c r="BK22" s="52" t="s">
        <v>9</v>
      </c>
      <c r="BL22" s="65"/>
      <c r="BM22" s="52">
        <v>1</v>
      </c>
      <c r="BN22" s="52"/>
      <c r="BO22" s="52"/>
      <c r="BP22" s="52"/>
      <c r="BQ22" s="55"/>
      <c r="BR22" s="52"/>
      <c r="BS22" s="52"/>
      <c r="BT22" s="55"/>
      <c r="BU22" s="55"/>
      <c r="BV22" s="52">
        <v>1</v>
      </c>
      <c r="BW22" s="56"/>
      <c r="BX22" s="60" t="s">
        <v>225</v>
      </c>
      <c r="BY22" s="72">
        <v>4</v>
      </c>
      <c r="BZ22" s="62" t="s">
        <v>255</v>
      </c>
    </row>
    <row r="23" spans="1:78" s="71" customFormat="1" ht="13.5" thickBot="1" x14ac:dyDescent="0.25">
      <c r="A23" s="52">
        <v>10</v>
      </c>
      <c r="B23" s="53" t="str">
        <f t="shared" si="10"/>
        <v>EMITTER_10</v>
      </c>
      <c r="C23" s="53">
        <f t="shared" si="8"/>
        <v>50</v>
      </c>
      <c r="D23" s="12">
        <f t="shared" si="0"/>
        <v>10002</v>
      </c>
      <c r="E23" s="54">
        <v>2</v>
      </c>
      <c r="F23" s="55" t="s">
        <v>54</v>
      </c>
      <c r="G23" s="52" t="s">
        <v>153</v>
      </c>
      <c r="H23" s="55" t="s">
        <v>7</v>
      </c>
      <c r="I23" s="55"/>
      <c r="J23" s="55"/>
      <c r="K23" s="55"/>
      <c r="L23" s="52">
        <v>15000</v>
      </c>
      <c r="M23" s="52">
        <v>15200</v>
      </c>
      <c r="N23" s="53">
        <f t="shared" si="2"/>
        <v>200</v>
      </c>
      <c r="O23" s="29">
        <f t="shared" si="3"/>
        <v>200</v>
      </c>
      <c r="P23" s="56" t="s">
        <v>6</v>
      </c>
      <c r="Q23" s="56"/>
      <c r="R23" s="114">
        <v>300</v>
      </c>
      <c r="S23" s="102">
        <v>400</v>
      </c>
      <c r="T23" s="55">
        <f t="shared" si="4"/>
        <v>100</v>
      </c>
      <c r="U23" s="56" t="s">
        <v>6</v>
      </c>
      <c r="V23" s="56"/>
      <c r="W23" s="114">
        <v>0.3</v>
      </c>
      <c r="X23" s="122">
        <v>0.44</v>
      </c>
      <c r="Y23" s="55">
        <f t="shared" si="5"/>
        <v>0.14000000000000001</v>
      </c>
      <c r="Z23" s="55">
        <v>0</v>
      </c>
      <c r="AA23" s="55">
        <v>0</v>
      </c>
      <c r="AB23" s="55" t="s">
        <v>12</v>
      </c>
      <c r="AC23" s="57">
        <v>0</v>
      </c>
      <c r="AD23" s="58">
        <v>0</v>
      </c>
      <c r="AE23" s="57">
        <v>0</v>
      </c>
      <c r="AF23" s="57">
        <v>9999</v>
      </c>
      <c r="AG23" s="52">
        <v>3</v>
      </c>
      <c r="AH23" s="57">
        <v>3</v>
      </c>
      <c r="AI23" s="57">
        <v>0</v>
      </c>
      <c r="AJ23" s="57">
        <v>0</v>
      </c>
      <c r="AK23" s="57">
        <v>0</v>
      </c>
      <c r="AL23" s="69">
        <v>105</v>
      </c>
      <c r="AM23" s="57">
        <v>25</v>
      </c>
      <c r="AN23" s="57">
        <v>0</v>
      </c>
      <c r="AO23" s="57">
        <v>0</v>
      </c>
      <c r="AP23" s="57">
        <v>0</v>
      </c>
      <c r="AQ23" s="57">
        <v>0</v>
      </c>
      <c r="AR23" s="57">
        <v>10</v>
      </c>
      <c r="AS23" s="57">
        <v>3</v>
      </c>
      <c r="AT23" s="57">
        <v>0</v>
      </c>
      <c r="AU23" s="57">
        <v>0</v>
      </c>
      <c r="AV23" s="57">
        <v>0</v>
      </c>
      <c r="AW23" s="57">
        <v>5</v>
      </c>
      <c r="AX23" s="57">
        <v>0</v>
      </c>
      <c r="AY23" s="57">
        <v>1</v>
      </c>
      <c r="AZ23" s="57">
        <v>8</v>
      </c>
      <c r="BA23" s="53">
        <v>1</v>
      </c>
      <c r="BB23" s="57">
        <v>1</v>
      </c>
      <c r="BC23" s="57">
        <v>0</v>
      </c>
      <c r="BD23" s="57">
        <v>0.9</v>
      </c>
      <c r="BE23" s="57">
        <f t="shared" si="9"/>
        <v>24</v>
      </c>
      <c r="BF23" s="57">
        <v>0</v>
      </c>
      <c r="BG23" s="57">
        <v>0</v>
      </c>
      <c r="BH23" s="57">
        <v>0</v>
      </c>
      <c r="BI23" s="52">
        <v>12</v>
      </c>
      <c r="BJ23" s="52">
        <v>3</v>
      </c>
      <c r="BK23" s="52" t="s">
        <v>9</v>
      </c>
      <c r="BL23" s="65"/>
      <c r="BM23" s="52">
        <v>1</v>
      </c>
      <c r="BN23" s="52"/>
      <c r="BO23" s="52"/>
      <c r="BP23" s="52"/>
      <c r="BQ23" s="55"/>
      <c r="BR23" s="52">
        <v>1</v>
      </c>
      <c r="BS23" s="52"/>
      <c r="BT23" s="55"/>
      <c r="BU23" s="55"/>
      <c r="BV23" s="55"/>
      <c r="BW23" s="64"/>
      <c r="BX23" s="60" t="s">
        <v>225</v>
      </c>
      <c r="BY23" s="72">
        <v>2</v>
      </c>
      <c r="BZ23" s="62" t="s">
        <v>255</v>
      </c>
    </row>
    <row r="24" spans="1:78" s="20" customFormat="1" ht="39" thickBot="1" x14ac:dyDescent="0.25">
      <c r="A24" s="14">
        <v>11</v>
      </c>
      <c r="B24" s="29" t="str">
        <f t="shared" si="10"/>
        <v>EMITTER_11</v>
      </c>
      <c r="C24" s="29">
        <f t="shared" si="8"/>
        <v>55</v>
      </c>
      <c r="D24" s="12">
        <f t="shared" si="0"/>
        <v>11001</v>
      </c>
      <c r="E24" s="29">
        <v>1</v>
      </c>
      <c r="F24" s="23" t="s">
        <v>69</v>
      </c>
      <c r="G24" s="29" t="str">
        <f>"Z0"&amp;TEXT(A24,"0")&amp;"Z"</f>
        <v>Z011Z</v>
      </c>
      <c r="H24" s="23" t="s">
        <v>24</v>
      </c>
      <c r="I24" s="23"/>
      <c r="J24" s="23"/>
      <c r="K24" s="23"/>
      <c r="L24" s="29">
        <v>16000</v>
      </c>
      <c r="M24" s="29">
        <v>16200</v>
      </c>
      <c r="N24" s="29">
        <f t="shared" si="2"/>
        <v>200</v>
      </c>
      <c r="O24" s="29">
        <f t="shared" si="3"/>
        <v>200</v>
      </c>
      <c r="P24" s="50" t="s">
        <v>31</v>
      </c>
      <c r="Q24" s="15" t="s">
        <v>139</v>
      </c>
      <c r="R24" s="115">
        <v>200</v>
      </c>
      <c r="S24" s="104">
        <v>300</v>
      </c>
      <c r="T24" s="13">
        <f t="shared" si="4"/>
        <v>100</v>
      </c>
      <c r="U24" s="51" t="s">
        <v>31</v>
      </c>
      <c r="V24" s="15" t="s">
        <v>140</v>
      </c>
      <c r="W24" s="115">
        <v>0.7</v>
      </c>
      <c r="X24" s="115">
        <v>0.8</v>
      </c>
      <c r="Y24" s="13">
        <f t="shared" si="5"/>
        <v>0.10000000000000009</v>
      </c>
      <c r="Z24" s="13">
        <v>15</v>
      </c>
      <c r="AA24" s="13">
        <v>15</v>
      </c>
      <c r="AB24" s="51" t="s">
        <v>316</v>
      </c>
      <c r="AC24" s="23">
        <v>0</v>
      </c>
      <c r="AD24" s="47">
        <v>360</v>
      </c>
      <c r="AE24" s="23">
        <v>0</v>
      </c>
      <c r="AF24" s="23">
        <v>0</v>
      </c>
      <c r="AG24" s="14">
        <v>3</v>
      </c>
      <c r="AH24" s="23">
        <v>5</v>
      </c>
      <c r="AI24" s="23">
        <v>0</v>
      </c>
      <c r="AJ24" s="23">
        <v>0</v>
      </c>
      <c r="AK24" s="23" t="s">
        <v>211</v>
      </c>
      <c r="AL24" s="14">
        <v>120</v>
      </c>
      <c r="AM24" s="23">
        <v>20</v>
      </c>
      <c r="AN24" s="23">
        <v>0</v>
      </c>
      <c r="AO24" s="23">
        <v>0</v>
      </c>
      <c r="AP24" s="23">
        <v>0</v>
      </c>
      <c r="AQ24" s="23">
        <v>0</v>
      </c>
      <c r="AR24" s="23">
        <v>0</v>
      </c>
      <c r="AS24" s="23">
        <v>0</v>
      </c>
      <c r="AT24" s="23">
        <v>0</v>
      </c>
      <c r="AU24" s="23">
        <v>0</v>
      </c>
      <c r="AV24" s="23">
        <v>0</v>
      </c>
      <c r="AW24" s="23">
        <v>1</v>
      </c>
      <c r="AX24" s="23">
        <v>0</v>
      </c>
      <c r="AY24" s="23">
        <v>1</v>
      </c>
      <c r="AZ24" s="47">
        <v>0</v>
      </c>
      <c r="BA24" s="29">
        <v>1</v>
      </c>
      <c r="BB24" s="23">
        <v>0</v>
      </c>
      <c r="BC24" s="23">
        <v>1</v>
      </c>
      <c r="BD24" s="23">
        <v>0.9</v>
      </c>
      <c r="BE24" s="23">
        <f t="shared" si="9"/>
        <v>6</v>
      </c>
      <c r="BF24" s="23">
        <v>0</v>
      </c>
      <c r="BG24" s="23">
        <v>0</v>
      </c>
      <c r="BH24" s="23">
        <v>0</v>
      </c>
      <c r="BI24" s="14">
        <v>3</v>
      </c>
      <c r="BJ24" s="14">
        <v>3</v>
      </c>
      <c r="BK24" s="14" t="s">
        <v>9</v>
      </c>
      <c r="BL24" s="23"/>
      <c r="BM24" s="14">
        <v>1</v>
      </c>
      <c r="BN24" s="14"/>
      <c r="BO24" s="14"/>
      <c r="BP24" s="14"/>
      <c r="BQ24" s="13"/>
      <c r="BR24" s="14"/>
      <c r="BS24" s="14"/>
      <c r="BT24" s="13"/>
      <c r="BU24" s="13"/>
      <c r="BV24" s="14">
        <v>1</v>
      </c>
      <c r="BW24" s="15"/>
      <c r="BX24" s="43" t="s">
        <v>226</v>
      </c>
      <c r="BY24" s="50" t="str">
        <f>"Approx "&amp;TEXT((2*AA24),0)&amp;" (2*SP)"</f>
        <v>Approx 30 (2*SP)</v>
      </c>
      <c r="BZ24" s="51" t="s">
        <v>254</v>
      </c>
    </row>
    <row r="25" spans="1:78" s="20" customFormat="1" ht="51.75" thickBot="1" x14ac:dyDescent="0.25">
      <c r="A25" s="14">
        <v>11</v>
      </c>
      <c r="B25" s="29" t="str">
        <f t="shared" si="10"/>
        <v>EMITTER_11</v>
      </c>
      <c r="C25" s="29">
        <f t="shared" si="8"/>
        <v>55</v>
      </c>
      <c r="D25" s="12">
        <f t="shared" si="0"/>
        <v>11002</v>
      </c>
      <c r="E25" s="29">
        <v>2</v>
      </c>
      <c r="F25" s="23" t="s">
        <v>69</v>
      </c>
      <c r="G25" s="29" t="str">
        <f>"Z0"&amp;TEXT(A25,"0")&amp;"Z"</f>
        <v>Z011Z</v>
      </c>
      <c r="H25" s="23" t="s">
        <v>66</v>
      </c>
      <c r="I25" s="23"/>
      <c r="J25" s="23"/>
      <c r="K25" s="23"/>
      <c r="L25" s="29">
        <v>16000</v>
      </c>
      <c r="M25" s="29">
        <v>16200</v>
      </c>
      <c r="N25" s="29">
        <f t="shared" si="2"/>
        <v>200</v>
      </c>
      <c r="O25" s="29">
        <f t="shared" si="3"/>
        <v>200</v>
      </c>
      <c r="P25" s="51" t="s">
        <v>31</v>
      </c>
      <c r="Q25" s="86" t="s">
        <v>97</v>
      </c>
      <c r="R25" s="115">
        <v>200</v>
      </c>
      <c r="S25" s="105">
        <v>249</v>
      </c>
      <c r="T25" s="13">
        <f t="shared" si="4"/>
        <v>49</v>
      </c>
      <c r="U25" s="51" t="s">
        <v>315</v>
      </c>
      <c r="V25" s="15" t="s">
        <v>141</v>
      </c>
      <c r="W25" s="115">
        <v>10</v>
      </c>
      <c r="X25" s="115">
        <v>12</v>
      </c>
      <c r="Y25" s="13">
        <f t="shared" si="5"/>
        <v>2</v>
      </c>
      <c r="Z25" s="79">
        <v>3.6</v>
      </c>
      <c r="AA25" s="79">
        <v>3.6</v>
      </c>
      <c r="AB25" s="51" t="s">
        <v>318</v>
      </c>
      <c r="AC25" s="23">
        <v>0</v>
      </c>
      <c r="AD25" s="23">
        <v>60</v>
      </c>
      <c r="AE25" s="23">
        <v>0</v>
      </c>
      <c r="AF25" s="47">
        <v>44.85</v>
      </c>
      <c r="AG25" s="14">
        <v>3</v>
      </c>
      <c r="AH25" s="23">
        <v>4</v>
      </c>
      <c r="AI25" s="23">
        <v>3</v>
      </c>
      <c r="AJ25" s="23">
        <v>20</v>
      </c>
      <c r="AK25" s="23" t="s">
        <v>211</v>
      </c>
      <c r="AL25" s="14">
        <v>120</v>
      </c>
      <c r="AM25" s="23">
        <v>20</v>
      </c>
      <c r="AN25" s="23">
        <v>0</v>
      </c>
      <c r="AO25" s="23">
        <v>0</v>
      </c>
      <c r="AP25" s="23">
        <v>0</v>
      </c>
      <c r="AQ25" s="23">
        <v>0</v>
      </c>
      <c r="AR25" s="23">
        <v>4</v>
      </c>
      <c r="AS25" s="47">
        <v>16</v>
      </c>
      <c r="AT25" s="23">
        <v>0</v>
      </c>
      <c r="AU25" s="23">
        <v>0</v>
      </c>
      <c r="AV25" s="23">
        <v>0</v>
      </c>
      <c r="AW25" s="23">
        <v>1</v>
      </c>
      <c r="AX25" s="23">
        <v>0</v>
      </c>
      <c r="AY25" s="23">
        <v>1</v>
      </c>
      <c r="AZ25" s="23">
        <v>2</v>
      </c>
      <c r="BA25" s="29">
        <v>1</v>
      </c>
      <c r="BB25" s="23">
        <v>0</v>
      </c>
      <c r="BC25" s="23">
        <v>1</v>
      </c>
      <c r="BD25" s="23">
        <v>0.9</v>
      </c>
      <c r="BE25" s="23">
        <f t="shared" si="9"/>
        <v>6</v>
      </c>
      <c r="BF25" s="47">
        <v>0</v>
      </c>
      <c r="BG25" s="47">
        <v>1</v>
      </c>
      <c r="BH25" s="23">
        <v>0</v>
      </c>
      <c r="BI25" s="14">
        <v>3</v>
      </c>
      <c r="BJ25" s="14">
        <v>3</v>
      </c>
      <c r="BK25" s="14" t="s">
        <v>9</v>
      </c>
      <c r="BL25" s="23"/>
      <c r="BM25" s="14">
        <v>1</v>
      </c>
      <c r="BN25" s="14"/>
      <c r="BO25" s="14"/>
      <c r="BP25" s="14"/>
      <c r="BQ25" s="13"/>
      <c r="BR25" s="14"/>
      <c r="BS25" s="14"/>
      <c r="BT25" s="13"/>
      <c r="BU25" s="13"/>
      <c r="BV25" s="14">
        <v>1</v>
      </c>
      <c r="BW25" s="15"/>
      <c r="BX25" s="43" t="s">
        <v>225</v>
      </c>
      <c r="BY25" s="50" t="str">
        <f>"Approx "&amp;TEXT((3*AA25),0)&amp;" (3*SP)"</f>
        <v>Approx 11 (3*SP)</v>
      </c>
      <c r="BZ25" s="51" t="s">
        <v>254</v>
      </c>
    </row>
    <row r="26" spans="1:78" s="68" customFormat="1" ht="39" thickBot="1" x14ac:dyDescent="0.25">
      <c r="A26" s="52">
        <v>12</v>
      </c>
      <c r="B26" s="53" t="str">
        <f t="shared" si="10"/>
        <v>EMITTER_12</v>
      </c>
      <c r="C26" s="53">
        <f t="shared" si="8"/>
        <v>60</v>
      </c>
      <c r="D26" s="12">
        <f t="shared" si="0"/>
        <v>12001</v>
      </c>
      <c r="E26" s="54">
        <v>1</v>
      </c>
      <c r="F26" s="55" t="s">
        <v>23</v>
      </c>
      <c r="G26" s="52" t="s">
        <v>155</v>
      </c>
      <c r="H26" s="55" t="s">
        <v>20</v>
      </c>
      <c r="I26" s="55"/>
      <c r="J26" s="55"/>
      <c r="K26" s="55"/>
      <c r="L26" s="52">
        <v>2100</v>
      </c>
      <c r="M26" s="52">
        <v>2180</v>
      </c>
      <c r="N26" s="53">
        <f t="shared" si="2"/>
        <v>80</v>
      </c>
      <c r="O26" s="29">
        <f t="shared" si="3"/>
        <v>80</v>
      </c>
      <c r="P26" s="56" t="s">
        <v>6</v>
      </c>
      <c r="Q26" s="56"/>
      <c r="R26" s="114">
        <v>100</v>
      </c>
      <c r="S26" s="102">
        <v>120</v>
      </c>
      <c r="T26" s="55">
        <f t="shared" si="4"/>
        <v>20</v>
      </c>
      <c r="U26" s="56" t="s">
        <v>6</v>
      </c>
      <c r="V26" s="56"/>
      <c r="W26" s="114">
        <v>1</v>
      </c>
      <c r="X26" s="114">
        <v>2</v>
      </c>
      <c r="Y26" s="55">
        <f t="shared" si="5"/>
        <v>1</v>
      </c>
      <c r="Z26" s="55">
        <v>1</v>
      </c>
      <c r="AA26" s="55">
        <v>1</v>
      </c>
      <c r="AB26" s="62" t="s">
        <v>316</v>
      </c>
      <c r="AC26" s="57">
        <v>0</v>
      </c>
      <c r="AD26" s="58">
        <v>360</v>
      </c>
      <c r="AE26" s="57">
        <v>0</v>
      </c>
      <c r="AF26" s="57"/>
      <c r="AG26" s="52">
        <v>3</v>
      </c>
      <c r="AH26" s="57">
        <v>10</v>
      </c>
      <c r="AI26" s="57">
        <v>0</v>
      </c>
      <c r="AJ26" s="57">
        <v>0</v>
      </c>
      <c r="AK26" s="57">
        <v>0</v>
      </c>
      <c r="AL26" s="52">
        <v>100</v>
      </c>
      <c r="AM26" s="57">
        <v>25</v>
      </c>
      <c r="AN26" s="57">
        <v>0</v>
      </c>
      <c r="AO26" s="57">
        <v>0</v>
      </c>
      <c r="AP26" s="57">
        <v>0</v>
      </c>
      <c r="AQ26" s="57">
        <v>0</v>
      </c>
      <c r="AR26" s="57">
        <v>0</v>
      </c>
      <c r="AS26" s="57">
        <v>0</v>
      </c>
      <c r="AT26" s="57">
        <v>0</v>
      </c>
      <c r="AU26" s="57">
        <v>0</v>
      </c>
      <c r="AV26" s="57">
        <v>0</v>
      </c>
      <c r="AW26" s="57">
        <v>1</v>
      </c>
      <c r="AX26" s="57">
        <v>0</v>
      </c>
      <c r="AY26" s="57">
        <v>1</v>
      </c>
      <c r="AZ26" s="57">
        <v>0</v>
      </c>
      <c r="BA26" s="53">
        <v>1</v>
      </c>
      <c r="BB26" s="57">
        <v>0</v>
      </c>
      <c r="BC26" s="57">
        <v>0</v>
      </c>
      <c r="BD26" s="57">
        <v>0.9</v>
      </c>
      <c r="BE26" s="57">
        <f t="shared" si="9"/>
        <v>20</v>
      </c>
      <c r="BF26" s="57">
        <v>0</v>
      </c>
      <c r="BG26" s="57">
        <v>0</v>
      </c>
      <c r="BH26" s="57">
        <v>0</v>
      </c>
      <c r="BI26" s="52">
        <v>10</v>
      </c>
      <c r="BJ26" s="52">
        <v>10</v>
      </c>
      <c r="BK26" s="52" t="s">
        <v>9</v>
      </c>
      <c r="BL26" s="65"/>
      <c r="BM26" s="52"/>
      <c r="BN26" s="52"/>
      <c r="BO26" s="52">
        <v>1</v>
      </c>
      <c r="BP26" s="52"/>
      <c r="BQ26" s="55"/>
      <c r="BR26" s="52">
        <v>1</v>
      </c>
      <c r="BS26" s="52"/>
      <c r="BT26" s="55"/>
      <c r="BU26" s="57"/>
      <c r="BV26" s="57"/>
      <c r="BW26" s="56" t="s">
        <v>138</v>
      </c>
      <c r="BX26" s="60" t="s">
        <v>226</v>
      </c>
      <c r="BY26" s="61" t="str">
        <f>"Approx "&amp;TEXT((2*AA26),0)&amp;" (2*SP)"</f>
        <v>Approx 2 (2*SP)</v>
      </c>
      <c r="BZ26" s="62" t="s">
        <v>255</v>
      </c>
    </row>
    <row r="27" spans="1:78" s="68" customFormat="1" ht="13.5" thickBot="1" x14ac:dyDescent="0.25">
      <c r="A27" s="52">
        <v>12</v>
      </c>
      <c r="B27" s="53" t="str">
        <f t="shared" si="10"/>
        <v>EMITTER_12</v>
      </c>
      <c r="C27" s="53">
        <f t="shared" si="8"/>
        <v>60</v>
      </c>
      <c r="D27" s="12">
        <f t="shared" si="0"/>
        <v>12002</v>
      </c>
      <c r="E27" s="54">
        <v>2</v>
      </c>
      <c r="F27" s="55" t="s">
        <v>23</v>
      </c>
      <c r="G27" s="52" t="s">
        <v>156</v>
      </c>
      <c r="H27" s="55" t="s">
        <v>20</v>
      </c>
      <c r="I27" s="55"/>
      <c r="J27" s="55"/>
      <c r="K27" s="55"/>
      <c r="L27" s="52">
        <v>2180</v>
      </c>
      <c r="M27" s="52">
        <v>2190</v>
      </c>
      <c r="N27" s="53">
        <f t="shared" si="2"/>
        <v>10</v>
      </c>
      <c r="O27" s="29">
        <f t="shared" si="3"/>
        <v>10</v>
      </c>
      <c r="P27" s="56" t="s">
        <v>6</v>
      </c>
      <c r="Q27" s="56"/>
      <c r="R27" s="117">
        <v>155</v>
      </c>
      <c r="S27" s="106">
        <v>185</v>
      </c>
      <c r="T27" s="55">
        <f t="shared" si="4"/>
        <v>30</v>
      </c>
      <c r="U27" s="56" t="s">
        <v>109</v>
      </c>
      <c r="V27" s="56" t="s">
        <v>113</v>
      </c>
      <c r="W27" s="114">
        <v>4</v>
      </c>
      <c r="X27" s="114">
        <v>4.5</v>
      </c>
      <c r="Y27" s="55">
        <f t="shared" si="5"/>
        <v>0.5</v>
      </c>
      <c r="Z27" s="55">
        <v>1</v>
      </c>
      <c r="AA27" s="55">
        <v>1</v>
      </c>
      <c r="AB27" s="62" t="s">
        <v>316</v>
      </c>
      <c r="AC27" s="57">
        <v>0</v>
      </c>
      <c r="AD27" s="58">
        <v>360</v>
      </c>
      <c r="AE27" s="57">
        <v>0</v>
      </c>
      <c r="AF27" s="57"/>
      <c r="AG27" s="52">
        <v>3</v>
      </c>
      <c r="AH27" s="57">
        <v>10</v>
      </c>
      <c r="AI27" s="57">
        <v>0</v>
      </c>
      <c r="AJ27" s="57">
        <v>0</v>
      </c>
      <c r="AK27" s="57">
        <v>0</v>
      </c>
      <c r="AL27" s="52">
        <v>100</v>
      </c>
      <c r="AM27" s="57">
        <v>25</v>
      </c>
      <c r="AN27" s="57">
        <v>0</v>
      </c>
      <c r="AO27" s="57">
        <v>0</v>
      </c>
      <c r="AP27" s="57">
        <v>0</v>
      </c>
      <c r="AQ27" s="57">
        <v>0</v>
      </c>
      <c r="AR27" s="57">
        <v>0</v>
      </c>
      <c r="AS27" s="57">
        <v>0</v>
      </c>
      <c r="AT27" s="57">
        <v>0</v>
      </c>
      <c r="AU27" s="57">
        <v>0</v>
      </c>
      <c r="AV27" s="57">
        <v>0</v>
      </c>
      <c r="AW27" s="57">
        <v>1</v>
      </c>
      <c r="AX27" s="57">
        <v>0</v>
      </c>
      <c r="AY27" s="57">
        <v>1</v>
      </c>
      <c r="AZ27" s="57">
        <v>0</v>
      </c>
      <c r="BA27" s="53">
        <v>1</v>
      </c>
      <c r="BB27" s="57">
        <v>0</v>
      </c>
      <c r="BC27" s="57">
        <v>0</v>
      </c>
      <c r="BD27" s="57">
        <v>0.9</v>
      </c>
      <c r="BE27" s="57">
        <f t="shared" si="9"/>
        <v>20</v>
      </c>
      <c r="BF27" s="57">
        <v>0</v>
      </c>
      <c r="BG27" s="57">
        <v>0</v>
      </c>
      <c r="BH27" s="57">
        <v>0</v>
      </c>
      <c r="BI27" s="52">
        <v>10</v>
      </c>
      <c r="BJ27" s="52">
        <v>10</v>
      </c>
      <c r="BK27" s="52" t="s">
        <v>9</v>
      </c>
      <c r="BL27" s="65"/>
      <c r="BM27" s="52">
        <v>1</v>
      </c>
      <c r="BN27" s="52"/>
      <c r="BO27" s="52"/>
      <c r="BP27" s="52"/>
      <c r="BQ27" s="55"/>
      <c r="BR27" s="52">
        <v>1</v>
      </c>
      <c r="BS27" s="52"/>
      <c r="BT27" s="55"/>
      <c r="BU27" s="55"/>
      <c r="BV27" s="55"/>
      <c r="BW27" s="56"/>
      <c r="BX27" s="60" t="s">
        <v>225</v>
      </c>
      <c r="BY27" s="56">
        <v>2</v>
      </c>
      <c r="BZ27" s="62" t="s">
        <v>255</v>
      </c>
    </row>
    <row r="28" spans="1:78" s="63" customFormat="1" ht="51.75" thickBot="1" x14ac:dyDescent="0.25">
      <c r="A28" s="52">
        <v>12</v>
      </c>
      <c r="B28" s="53" t="str">
        <f t="shared" si="10"/>
        <v>EMITTER_12</v>
      </c>
      <c r="C28" s="53">
        <f t="shared" si="8"/>
        <v>60</v>
      </c>
      <c r="D28" s="12">
        <f t="shared" si="0"/>
        <v>12001</v>
      </c>
      <c r="E28" s="54">
        <v>1</v>
      </c>
      <c r="F28" s="55" t="s">
        <v>70</v>
      </c>
      <c r="G28" s="52" t="s">
        <v>157</v>
      </c>
      <c r="H28" s="57" t="s">
        <v>14</v>
      </c>
      <c r="I28" s="57"/>
      <c r="J28" s="57"/>
      <c r="K28" s="57"/>
      <c r="L28" s="69">
        <v>14511</v>
      </c>
      <c r="M28" s="69">
        <v>14741</v>
      </c>
      <c r="N28" s="53">
        <f t="shared" si="2"/>
        <v>230</v>
      </c>
      <c r="O28" s="29">
        <f t="shared" si="3"/>
        <v>230</v>
      </c>
      <c r="P28" s="56" t="s">
        <v>31</v>
      </c>
      <c r="Q28" s="56" t="s">
        <v>98</v>
      </c>
      <c r="R28" s="114">
        <v>250</v>
      </c>
      <c r="S28" s="102">
        <v>500</v>
      </c>
      <c r="T28" s="55">
        <f t="shared" si="4"/>
        <v>250</v>
      </c>
      <c r="U28" s="62" t="s">
        <v>31</v>
      </c>
      <c r="V28" s="56" t="s">
        <v>114</v>
      </c>
      <c r="W28" s="114">
        <v>1</v>
      </c>
      <c r="X28" s="114">
        <v>4</v>
      </c>
      <c r="Y28" s="55">
        <f t="shared" si="5"/>
        <v>3</v>
      </c>
      <c r="Z28" s="55">
        <v>0</v>
      </c>
      <c r="AA28" s="55">
        <v>0</v>
      </c>
      <c r="AB28" s="59" t="s">
        <v>316</v>
      </c>
      <c r="AC28" s="57">
        <v>0</v>
      </c>
      <c r="AD28" s="57">
        <v>0</v>
      </c>
      <c r="AE28" s="57">
        <v>0</v>
      </c>
      <c r="AF28" s="57">
        <v>9999</v>
      </c>
      <c r="AG28" s="52">
        <v>3</v>
      </c>
      <c r="AH28" s="57">
        <v>10</v>
      </c>
      <c r="AI28" s="57">
        <v>0</v>
      </c>
      <c r="AJ28" s="57">
        <v>0</v>
      </c>
      <c r="AK28" s="57">
        <v>250</v>
      </c>
      <c r="AL28" s="69">
        <v>115</v>
      </c>
      <c r="AM28" s="57">
        <v>25</v>
      </c>
      <c r="AN28" s="57">
        <v>0</v>
      </c>
      <c r="AO28" s="57">
        <v>0</v>
      </c>
      <c r="AP28" s="57">
        <v>0</v>
      </c>
      <c r="AQ28" s="57">
        <v>0</v>
      </c>
      <c r="AR28" s="57">
        <v>0</v>
      </c>
      <c r="AS28" s="57">
        <v>0</v>
      </c>
      <c r="AT28" s="57">
        <v>0</v>
      </c>
      <c r="AU28" s="57">
        <v>0</v>
      </c>
      <c r="AV28" s="57">
        <v>0</v>
      </c>
      <c r="AW28" s="57">
        <v>1</v>
      </c>
      <c r="AX28" s="57">
        <v>0</v>
      </c>
      <c r="AY28" s="57">
        <v>1</v>
      </c>
      <c r="AZ28" s="57">
        <v>8</v>
      </c>
      <c r="BA28" s="53">
        <v>1</v>
      </c>
      <c r="BB28" s="57">
        <v>0</v>
      </c>
      <c r="BC28" s="57">
        <v>1</v>
      </c>
      <c r="BD28" s="57">
        <v>0.9</v>
      </c>
      <c r="BE28" s="57">
        <f t="shared" si="9"/>
        <v>20</v>
      </c>
      <c r="BF28" s="57">
        <v>0</v>
      </c>
      <c r="BG28" s="57">
        <v>0</v>
      </c>
      <c r="BH28" s="57">
        <v>0</v>
      </c>
      <c r="BI28" s="52">
        <v>10</v>
      </c>
      <c r="BJ28" s="52">
        <v>10</v>
      </c>
      <c r="BK28" s="52" t="s">
        <v>9</v>
      </c>
      <c r="BL28" s="65"/>
      <c r="BM28" s="52">
        <v>1</v>
      </c>
      <c r="BN28" s="52"/>
      <c r="BO28" s="52"/>
      <c r="BP28" s="52"/>
      <c r="BQ28" s="55"/>
      <c r="BR28" s="52"/>
      <c r="BS28" s="52"/>
      <c r="BT28" s="55"/>
      <c r="BU28" s="55"/>
      <c r="BV28" s="55"/>
      <c r="BW28" s="56"/>
      <c r="BX28" s="60" t="s">
        <v>226</v>
      </c>
      <c r="BY28" s="61" t="str">
        <f>"Approx "&amp;TEXT((2*AA28),0)&amp;" (2*SP)"</f>
        <v>Approx 0 (2*SP)</v>
      </c>
      <c r="BZ28" s="62" t="s">
        <v>255</v>
      </c>
    </row>
    <row r="29" spans="1:78" s="20" customFormat="1" ht="26.25" thickBot="1" x14ac:dyDescent="0.25">
      <c r="A29" s="14">
        <v>13</v>
      </c>
      <c r="B29" s="29" t="str">
        <f t="shared" si="10"/>
        <v>EMITTER_13</v>
      </c>
      <c r="C29" s="29">
        <f t="shared" si="8"/>
        <v>65</v>
      </c>
      <c r="D29" s="12">
        <f t="shared" si="0"/>
        <v>13003</v>
      </c>
      <c r="E29" s="12">
        <v>3</v>
      </c>
      <c r="F29" s="13" t="s">
        <v>53</v>
      </c>
      <c r="G29" s="29" t="str">
        <f>"Z0"&amp;TEXT(A29,"0")&amp;"Z"</f>
        <v>Z013Z</v>
      </c>
      <c r="H29" s="13" t="s">
        <v>28</v>
      </c>
      <c r="I29" s="13"/>
      <c r="J29" s="13"/>
      <c r="K29" s="13"/>
      <c r="L29" s="14">
        <v>2800</v>
      </c>
      <c r="M29" s="14">
        <v>2850</v>
      </c>
      <c r="N29" s="29">
        <f t="shared" si="2"/>
        <v>50</v>
      </c>
      <c r="O29" s="29">
        <f t="shared" si="3"/>
        <v>50</v>
      </c>
      <c r="P29" s="15" t="s">
        <v>6</v>
      </c>
      <c r="Q29" s="15"/>
      <c r="R29" s="116">
        <v>1666</v>
      </c>
      <c r="S29" s="101">
        <v>2400</v>
      </c>
      <c r="T29" s="13">
        <f t="shared" si="4"/>
        <v>734</v>
      </c>
      <c r="U29" s="15" t="s">
        <v>115</v>
      </c>
      <c r="V29" s="39" t="s">
        <v>248</v>
      </c>
      <c r="W29" s="113">
        <v>2</v>
      </c>
      <c r="X29" s="113">
        <v>4</v>
      </c>
      <c r="Y29" s="13">
        <f t="shared" si="5"/>
        <v>2</v>
      </c>
      <c r="Z29" s="80">
        <v>1</v>
      </c>
      <c r="AA29" s="80">
        <v>1</v>
      </c>
      <c r="AB29" s="79" t="s">
        <v>316</v>
      </c>
      <c r="AC29" s="23">
        <v>0</v>
      </c>
      <c r="AD29" s="23">
        <v>0</v>
      </c>
      <c r="AE29" s="23">
        <v>0</v>
      </c>
      <c r="AF29" s="23">
        <v>0</v>
      </c>
      <c r="AG29" s="14">
        <v>2</v>
      </c>
      <c r="AH29" s="82">
        <v>1</v>
      </c>
      <c r="AI29" s="23">
        <v>0</v>
      </c>
      <c r="AJ29" s="23">
        <v>0</v>
      </c>
      <c r="AK29" s="23">
        <v>0</v>
      </c>
      <c r="AL29" s="14">
        <v>90</v>
      </c>
      <c r="AM29" s="23">
        <v>20</v>
      </c>
      <c r="AN29" s="23">
        <v>0</v>
      </c>
      <c r="AO29" s="23">
        <v>0</v>
      </c>
      <c r="AP29" s="23">
        <v>0</v>
      </c>
      <c r="AQ29" s="23">
        <v>0</v>
      </c>
      <c r="AR29" s="23">
        <v>0</v>
      </c>
      <c r="AS29" s="47">
        <v>30</v>
      </c>
      <c r="AT29" s="23">
        <v>0</v>
      </c>
      <c r="AU29" s="23">
        <v>0</v>
      </c>
      <c r="AV29" s="23">
        <v>0</v>
      </c>
      <c r="AW29" s="23">
        <v>1</v>
      </c>
      <c r="AX29" s="23">
        <v>0</v>
      </c>
      <c r="AY29" s="23">
        <v>1</v>
      </c>
      <c r="AZ29" s="23">
        <v>0</v>
      </c>
      <c r="BA29" s="29">
        <v>0</v>
      </c>
      <c r="BB29" s="23">
        <v>0</v>
      </c>
      <c r="BC29" s="23">
        <v>0</v>
      </c>
      <c r="BD29" s="23">
        <v>0.8</v>
      </c>
      <c r="BE29" s="23">
        <v>20</v>
      </c>
      <c r="BF29" s="23">
        <v>0</v>
      </c>
      <c r="BG29" s="23">
        <v>0</v>
      </c>
      <c r="BH29" s="23">
        <v>0</v>
      </c>
      <c r="BI29" s="14" t="s">
        <v>133</v>
      </c>
      <c r="BJ29" s="14">
        <v>5</v>
      </c>
      <c r="BK29" s="14" t="s">
        <v>25</v>
      </c>
      <c r="BL29" s="23"/>
      <c r="BM29" s="14"/>
      <c r="BN29" s="14"/>
      <c r="BO29" s="14">
        <v>1</v>
      </c>
      <c r="BP29" s="14"/>
      <c r="BQ29" s="13"/>
      <c r="BR29" s="14">
        <v>1</v>
      </c>
      <c r="BS29" s="14"/>
      <c r="BT29" s="13"/>
      <c r="BU29" s="13"/>
      <c r="BV29" s="13"/>
      <c r="BW29" s="15"/>
      <c r="BX29" s="43" t="s">
        <v>226</v>
      </c>
      <c r="BY29" s="50" t="str">
        <f>"Approx "&amp;TEXT((3*AA29),0)&amp;" (3*SP)"</f>
        <v>Approx 3 (3*SP)</v>
      </c>
      <c r="BZ29" s="51" t="s">
        <v>254</v>
      </c>
    </row>
    <row r="30" spans="1:78" s="20" customFormat="1" ht="26.25" thickBot="1" x14ac:dyDescent="0.25">
      <c r="A30" s="14">
        <v>13</v>
      </c>
      <c r="B30" s="29" t="str">
        <f t="shared" si="10"/>
        <v>EMITTER_13</v>
      </c>
      <c r="C30" s="29">
        <f t="shared" si="8"/>
        <v>65</v>
      </c>
      <c r="D30" s="12">
        <f t="shared" si="0"/>
        <v>13002</v>
      </c>
      <c r="E30" s="12">
        <v>2</v>
      </c>
      <c r="F30" s="13" t="s">
        <v>53</v>
      </c>
      <c r="G30" s="29" t="str">
        <f>"Z0"&amp;TEXT(A30,"0")&amp;"Z"</f>
        <v>Z013Z</v>
      </c>
      <c r="H30" s="13" t="s">
        <v>28</v>
      </c>
      <c r="I30" s="13"/>
      <c r="J30" s="13"/>
      <c r="K30" s="13"/>
      <c r="L30" s="14">
        <v>2900</v>
      </c>
      <c r="M30" s="14">
        <v>2950</v>
      </c>
      <c r="N30" s="29">
        <f t="shared" si="2"/>
        <v>50</v>
      </c>
      <c r="O30" s="29">
        <f t="shared" si="3"/>
        <v>50</v>
      </c>
      <c r="P30" s="15" t="s">
        <v>6</v>
      </c>
      <c r="Q30" s="15"/>
      <c r="R30" s="116">
        <v>2020</v>
      </c>
      <c r="S30" s="101">
        <v>3000</v>
      </c>
      <c r="T30" s="13">
        <f t="shared" si="4"/>
        <v>980</v>
      </c>
      <c r="U30" s="51" t="s">
        <v>11</v>
      </c>
      <c r="V30" s="15" t="s">
        <v>265</v>
      </c>
      <c r="W30" s="113">
        <v>2</v>
      </c>
      <c r="X30" s="113">
        <v>4</v>
      </c>
      <c r="Y30" s="13">
        <f t="shared" si="5"/>
        <v>2</v>
      </c>
      <c r="Z30" s="80">
        <v>1</v>
      </c>
      <c r="AA30" s="80">
        <v>1</v>
      </c>
      <c r="AB30" s="79" t="s">
        <v>316</v>
      </c>
      <c r="AC30" s="23">
        <v>0</v>
      </c>
      <c r="AD30" s="23">
        <v>0</v>
      </c>
      <c r="AE30" s="23">
        <v>0</v>
      </c>
      <c r="AF30" s="23">
        <v>0</v>
      </c>
      <c r="AG30" s="14">
        <v>2</v>
      </c>
      <c r="AH30" s="82">
        <v>1</v>
      </c>
      <c r="AI30" s="23">
        <v>0</v>
      </c>
      <c r="AJ30" s="23">
        <v>0</v>
      </c>
      <c r="AK30" s="23">
        <v>0</v>
      </c>
      <c r="AL30" s="14">
        <v>90</v>
      </c>
      <c r="AM30" s="23">
        <v>20</v>
      </c>
      <c r="AN30" s="23">
        <v>0</v>
      </c>
      <c r="AO30" s="23">
        <v>0</v>
      </c>
      <c r="AP30" s="23">
        <v>0</v>
      </c>
      <c r="AQ30" s="23">
        <v>0</v>
      </c>
      <c r="AR30" s="23">
        <v>0</v>
      </c>
      <c r="AS30" s="47">
        <v>30</v>
      </c>
      <c r="AT30" s="23">
        <v>0</v>
      </c>
      <c r="AU30" s="23">
        <v>0</v>
      </c>
      <c r="AV30" s="23">
        <v>0</v>
      </c>
      <c r="AW30" s="23">
        <v>1</v>
      </c>
      <c r="AX30" s="23">
        <v>0</v>
      </c>
      <c r="AY30" s="23">
        <v>1</v>
      </c>
      <c r="AZ30" s="23">
        <v>0</v>
      </c>
      <c r="BA30" s="29">
        <v>0</v>
      </c>
      <c r="BB30" s="23">
        <v>0</v>
      </c>
      <c r="BC30" s="23">
        <v>0</v>
      </c>
      <c r="BD30" s="23">
        <v>0.8</v>
      </c>
      <c r="BE30" s="23">
        <v>20</v>
      </c>
      <c r="BF30" s="23">
        <v>0</v>
      </c>
      <c r="BG30" s="23">
        <v>0</v>
      </c>
      <c r="BH30" s="23">
        <v>0</v>
      </c>
      <c r="BI30" s="14" t="s">
        <v>133</v>
      </c>
      <c r="BJ30" s="14">
        <v>5</v>
      </c>
      <c r="BK30" s="14" t="s">
        <v>25</v>
      </c>
      <c r="BL30" s="23"/>
      <c r="BM30" s="14"/>
      <c r="BN30" s="14"/>
      <c r="BO30" s="14"/>
      <c r="BP30" s="14">
        <v>1</v>
      </c>
      <c r="BQ30" s="13"/>
      <c r="BR30" s="14">
        <v>1</v>
      </c>
      <c r="BS30" s="14">
        <v>1</v>
      </c>
      <c r="BT30" s="13"/>
      <c r="BU30" s="23"/>
      <c r="BV30" s="23"/>
      <c r="BW30" s="15"/>
      <c r="BX30" s="43" t="s">
        <v>226</v>
      </c>
      <c r="BY30" s="50" t="str">
        <f>"Approx "&amp;TEXT((3*AA30),0)&amp;" (3*SP)"</f>
        <v>Approx 3 (3*SP)</v>
      </c>
      <c r="BZ30" s="51" t="s">
        <v>254</v>
      </c>
    </row>
    <row r="31" spans="1:78" s="24" customFormat="1" ht="26.25" thickBot="1" x14ac:dyDescent="0.25">
      <c r="A31" s="14">
        <v>13</v>
      </c>
      <c r="B31" s="29" t="str">
        <f t="shared" si="10"/>
        <v>EMITTER_13</v>
      </c>
      <c r="C31" s="29">
        <f t="shared" si="8"/>
        <v>65</v>
      </c>
      <c r="D31" s="12">
        <f t="shared" si="0"/>
        <v>13001</v>
      </c>
      <c r="E31" s="12">
        <v>1</v>
      </c>
      <c r="F31" s="13" t="s">
        <v>53</v>
      </c>
      <c r="G31" s="29" t="str">
        <f>"Z0"&amp;TEXT(A31,"0")&amp;"Z"</f>
        <v>Z013Z</v>
      </c>
      <c r="H31" s="13" t="s">
        <v>28</v>
      </c>
      <c r="I31" s="13"/>
      <c r="J31" s="13"/>
      <c r="K31" s="13"/>
      <c r="L31" s="14">
        <v>3000</v>
      </c>
      <c r="M31" s="14">
        <v>3150</v>
      </c>
      <c r="N31" s="29">
        <f t="shared" si="2"/>
        <v>150</v>
      </c>
      <c r="O31" s="29">
        <f t="shared" si="3"/>
        <v>150</v>
      </c>
      <c r="P31" s="15" t="s">
        <v>6</v>
      </c>
      <c r="Q31" s="15"/>
      <c r="R31" s="113">
        <v>2400</v>
      </c>
      <c r="S31" s="103">
        <v>2988</v>
      </c>
      <c r="T31" s="13">
        <f t="shared" si="4"/>
        <v>588</v>
      </c>
      <c r="U31" s="15" t="s">
        <v>11</v>
      </c>
      <c r="V31" s="15" t="s">
        <v>116</v>
      </c>
      <c r="W31" s="113">
        <v>2</v>
      </c>
      <c r="X31" s="113">
        <v>2.6</v>
      </c>
      <c r="Y31" s="13">
        <f t="shared" si="5"/>
        <v>0.60000000000000009</v>
      </c>
      <c r="Z31" s="80">
        <v>1</v>
      </c>
      <c r="AA31" s="80">
        <v>1</v>
      </c>
      <c r="AB31" s="79" t="s">
        <v>316</v>
      </c>
      <c r="AC31" s="23">
        <v>0</v>
      </c>
      <c r="AD31" s="23">
        <v>0</v>
      </c>
      <c r="AE31" s="23">
        <v>0</v>
      </c>
      <c r="AF31" s="23">
        <v>0</v>
      </c>
      <c r="AG31" s="14">
        <v>2</v>
      </c>
      <c r="AH31" s="82">
        <v>1</v>
      </c>
      <c r="AI31" s="23">
        <v>0</v>
      </c>
      <c r="AJ31" s="23">
        <v>0</v>
      </c>
      <c r="AK31" s="23">
        <v>0</v>
      </c>
      <c r="AL31" s="14">
        <v>90</v>
      </c>
      <c r="AM31" s="23">
        <v>20</v>
      </c>
      <c r="AN31" s="23">
        <v>0</v>
      </c>
      <c r="AO31" s="23">
        <v>0</v>
      </c>
      <c r="AP31" s="23">
        <v>0</v>
      </c>
      <c r="AQ31" s="23">
        <v>0</v>
      </c>
      <c r="AR31" s="23">
        <v>0</v>
      </c>
      <c r="AS31" s="47">
        <v>30</v>
      </c>
      <c r="AT31" s="23">
        <v>0</v>
      </c>
      <c r="AU31" s="23">
        <v>0</v>
      </c>
      <c r="AV31" s="23">
        <v>0</v>
      </c>
      <c r="AW31" s="23">
        <v>1</v>
      </c>
      <c r="AX31" s="23">
        <v>0</v>
      </c>
      <c r="AY31" s="23">
        <v>1</v>
      </c>
      <c r="AZ31" s="23">
        <v>0</v>
      </c>
      <c r="BA31" s="29">
        <v>0</v>
      </c>
      <c r="BB31" s="23">
        <v>0</v>
      </c>
      <c r="BC31" s="23">
        <v>0</v>
      </c>
      <c r="BD31" s="23">
        <v>0.8</v>
      </c>
      <c r="BE31" s="23">
        <v>20</v>
      </c>
      <c r="BF31" s="23">
        <v>0</v>
      </c>
      <c r="BG31" s="23">
        <v>0</v>
      </c>
      <c r="BH31" s="23">
        <v>0</v>
      </c>
      <c r="BI31" s="14" t="s">
        <v>133</v>
      </c>
      <c r="BJ31" s="14">
        <v>5</v>
      </c>
      <c r="BK31" s="14" t="s">
        <v>25</v>
      </c>
      <c r="BL31" s="23"/>
      <c r="BM31" s="14"/>
      <c r="BN31" s="14"/>
      <c r="BO31" s="14">
        <v>1</v>
      </c>
      <c r="BP31" s="14"/>
      <c r="BQ31" s="13"/>
      <c r="BR31" s="14">
        <v>1</v>
      </c>
      <c r="BS31" s="14"/>
      <c r="BT31" s="13"/>
      <c r="BU31" s="23"/>
      <c r="BV31" s="23"/>
      <c r="BW31" s="15"/>
      <c r="BX31" s="43" t="s">
        <v>226</v>
      </c>
      <c r="BY31" s="50" t="str">
        <f>"Approx "&amp;TEXT((3*AA31),0)&amp;" (3*SP)"</f>
        <v>Approx 3 (3*SP)</v>
      </c>
      <c r="BZ31" s="51" t="s">
        <v>254</v>
      </c>
    </row>
    <row r="32" spans="1:78" s="73" customFormat="1" ht="26.25" thickBot="1" x14ac:dyDescent="0.25">
      <c r="A32" s="52">
        <v>14</v>
      </c>
      <c r="B32" s="53" t="str">
        <f t="shared" si="10"/>
        <v>EMITTER_14</v>
      </c>
      <c r="C32" s="53">
        <f t="shared" si="8"/>
        <v>70</v>
      </c>
      <c r="D32" s="12">
        <f t="shared" si="0"/>
        <v>14001</v>
      </c>
      <c r="E32" s="54">
        <v>1</v>
      </c>
      <c r="F32" s="55" t="s">
        <v>80</v>
      </c>
      <c r="G32" s="53" t="str">
        <f>"Z0"&amp;TEXT(A32,"0")&amp;"Z"</f>
        <v>Z014Z</v>
      </c>
      <c r="H32" s="55" t="s">
        <v>24</v>
      </c>
      <c r="I32" s="55"/>
      <c r="J32" s="55"/>
      <c r="K32" s="55"/>
      <c r="L32" s="52">
        <v>4500</v>
      </c>
      <c r="M32" s="52">
        <v>4550</v>
      </c>
      <c r="N32" s="53">
        <f t="shared" si="2"/>
        <v>50</v>
      </c>
      <c r="O32" s="29">
        <f t="shared" si="3"/>
        <v>50</v>
      </c>
      <c r="P32" s="56" t="s">
        <v>6</v>
      </c>
      <c r="Q32" s="56"/>
      <c r="R32" s="117">
        <v>70</v>
      </c>
      <c r="S32" s="102">
        <v>100</v>
      </c>
      <c r="T32" s="55">
        <f t="shared" si="4"/>
        <v>30</v>
      </c>
      <c r="U32" s="56" t="s">
        <v>109</v>
      </c>
      <c r="V32" s="56" t="s">
        <v>249</v>
      </c>
      <c r="W32" s="114">
        <v>1</v>
      </c>
      <c r="X32" s="114">
        <v>3</v>
      </c>
      <c r="Y32" s="55">
        <f t="shared" si="5"/>
        <v>2</v>
      </c>
      <c r="Z32" s="55">
        <v>10</v>
      </c>
      <c r="AA32" s="55">
        <v>10</v>
      </c>
      <c r="AB32" s="62" t="s">
        <v>316</v>
      </c>
      <c r="AC32" s="57">
        <v>0</v>
      </c>
      <c r="AD32" s="58">
        <v>360</v>
      </c>
      <c r="AE32" s="57">
        <v>0</v>
      </c>
      <c r="AF32" s="57">
        <v>0</v>
      </c>
      <c r="AG32" s="52">
        <v>4</v>
      </c>
      <c r="AH32" s="58">
        <v>10</v>
      </c>
      <c r="AI32" s="57">
        <v>0</v>
      </c>
      <c r="AJ32" s="57">
        <v>0</v>
      </c>
      <c r="AK32" s="57">
        <v>0</v>
      </c>
      <c r="AL32" s="52">
        <v>100</v>
      </c>
      <c r="AM32" s="57">
        <v>20</v>
      </c>
      <c r="AN32" s="57">
        <v>0</v>
      </c>
      <c r="AO32" s="57">
        <v>0</v>
      </c>
      <c r="AP32" s="57">
        <v>0</v>
      </c>
      <c r="AQ32" s="57">
        <v>0</v>
      </c>
      <c r="AR32" s="57">
        <v>0</v>
      </c>
      <c r="AS32" s="57">
        <v>0</v>
      </c>
      <c r="AT32" s="57">
        <v>0</v>
      </c>
      <c r="AU32" s="57">
        <v>0</v>
      </c>
      <c r="AV32" s="57">
        <v>0</v>
      </c>
      <c r="AW32" s="57">
        <v>1</v>
      </c>
      <c r="AX32" s="57">
        <v>0</v>
      </c>
      <c r="AY32" s="57">
        <v>1</v>
      </c>
      <c r="AZ32" s="57">
        <v>0</v>
      </c>
      <c r="BA32" s="53">
        <v>1</v>
      </c>
      <c r="BB32" s="57">
        <v>0</v>
      </c>
      <c r="BC32" s="57">
        <v>1</v>
      </c>
      <c r="BD32" s="57">
        <v>0.9</v>
      </c>
      <c r="BE32" s="57">
        <v>20</v>
      </c>
      <c r="BF32" s="57">
        <v>0</v>
      </c>
      <c r="BG32" s="57">
        <v>0</v>
      </c>
      <c r="BH32" s="57">
        <v>0</v>
      </c>
      <c r="BI32" s="52" t="s">
        <v>133</v>
      </c>
      <c r="BJ32" s="52">
        <v>4</v>
      </c>
      <c r="BK32" s="52" t="s">
        <v>9</v>
      </c>
      <c r="BL32" s="65"/>
      <c r="BM32" s="52"/>
      <c r="BN32" s="52"/>
      <c r="BO32" s="52">
        <v>1</v>
      </c>
      <c r="BP32" s="52"/>
      <c r="BQ32" s="55"/>
      <c r="BR32" s="52">
        <v>1</v>
      </c>
      <c r="BS32" s="52"/>
      <c r="BT32" s="55"/>
      <c r="BU32" s="57"/>
      <c r="BV32" s="57"/>
      <c r="BW32" s="56"/>
      <c r="BX32" s="60" t="s">
        <v>226</v>
      </c>
      <c r="BY32" s="61" t="str">
        <f>"Approx "&amp;TEXT((2*AA32),0)&amp;" (2*SP)"</f>
        <v>Approx 20 (2*SP)</v>
      </c>
      <c r="BZ32" s="62" t="s">
        <v>254</v>
      </c>
    </row>
    <row r="33" spans="1:78" s="73" customFormat="1" ht="26.25" thickBot="1" x14ac:dyDescent="0.25">
      <c r="A33" s="52">
        <v>14</v>
      </c>
      <c r="B33" s="53" t="str">
        <f t="shared" si="10"/>
        <v>EMITTER_14</v>
      </c>
      <c r="C33" s="53">
        <f t="shared" si="8"/>
        <v>70</v>
      </c>
      <c r="D33" s="12">
        <f t="shared" si="0"/>
        <v>14002</v>
      </c>
      <c r="E33" s="54">
        <v>2</v>
      </c>
      <c r="F33" s="55" t="s">
        <v>80</v>
      </c>
      <c r="G33" s="53" t="str">
        <f>"Z0"&amp;TEXT(A33,"0")&amp;"Z"</f>
        <v>Z014Z</v>
      </c>
      <c r="H33" s="55" t="s">
        <v>24</v>
      </c>
      <c r="I33" s="55"/>
      <c r="J33" s="55"/>
      <c r="K33" s="55"/>
      <c r="L33" s="52">
        <v>4600</v>
      </c>
      <c r="M33" s="52">
        <v>4650</v>
      </c>
      <c r="N33" s="53">
        <f t="shared" si="2"/>
        <v>50</v>
      </c>
      <c r="O33" s="29">
        <f t="shared" si="3"/>
        <v>50</v>
      </c>
      <c r="P33" s="56" t="s">
        <v>6</v>
      </c>
      <c r="Q33" s="56"/>
      <c r="R33" s="117">
        <v>70</v>
      </c>
      <c r="S33" s="102">
        <v>100</v>
      </c>
      <c r="T33" s="55">
        <f t="shared" si="4"/>
        <v>30</v>
      </c>
      <c r="U33" s="56" t="s">
        <v>109</v>
      </c>
      <c r="V33" s="56" t="s">
        <v>249</v>
      </c>
      <c r="W33" s="114">
        <v>1</v>
      </c>
      <c r="X33" s="114">
        <v>3</v>
      </c>
      <c r="Y33" s="55">
        <f t="shared" si="5"/>
        <v>2</v>
      </c>
      <c r="Z33" s="55">
        <v>10</v>
      </c>
      <c r="AA33" s="55">
        <v>10</v>
      </c>
      <c r="AB33" s="62" t="s">
        <v>316</v>
      </c>
      <c r="AC33" s="57">
        <v>0</v>
      </c>
      <c r="AD33" s="58">
        <v>360</v>
      </c>
      <c r="AE33" s="57">
        <v>0</v>
      </c>
      <c r="AF33" s="57">
        <v>0</v>
      </c>
      <c r="AG33" s="52">
        <v>4</v>
      </c>
      <c r="AH33" s="58">
        <v>10</v>
      </c>
      <c r="AI33" s="57">
        <v>0</v>
      </c>
      <c r="AJ33" s="57">
        <v>0</v>
      </c>
      <c r="AK33" s="57">
        <v>0</v>
      </c>
      <c r="AL33" s="52">
        <v>100</v>
      </c>
      <c r="AM33" s="57">
        <v>20</v>
      </c>
      <c r="AN33" s="57">
        <v>0</v>
      </c>
      <c r="AO33" s="57">
        <v>0</v>
      </c>
      <c r="AP33" s="57">
        <v>0</v>
      </c>
      <c r="AQ33" s="57">
        <v>0</v>
      </c>
      <c r="AR33" s="57">
        <v>0</v>
      </c>
      <c r="AS33" s="57">
        <v>0</v>
      </c>
      <c r="AT33" s="57">
        <v>0</v>
      </c>
      <c r="AU33" s="57">
        <v>0</v>
      </c>
      <c r="AV33" s="57">
        <v>0</v>
      </c>
      <c r="AW33" s="57">
        <v>1</v>
      </c>
      <c r="AX33" s="57">
        <v>0</v>
      </c>
      <c r="AY33" s="57">
        <v>1</v>
      </c>
      <c r="AZ33" s="57">
        <v>0</v>
      </c>
      <c r="BA33" s="53">
        <v>1</v>
      </c>
      <c r="BB33" s="57">
        <v>0</v>
      </c>
      <c r="BC33" s="57">
        <v>1</v>
      </c>
      <c r="BD33" s="57">
        <v>0.9</v>
      </c>
      <c r="BE33" s="57">
        <v>20</v>
      </c>
      <c r="BF33" s="57">
        <v>0</v>
      </c>
      <c r="BG33" s="57">
        <v>0</v>
      </c>
      <c r="BH33" s="57">
        <v>0</v>
      </c>
      <c r="BI33" s="52" t="s">
        <v>133</v>
      </c>
      <c r="BJ33" s="52">
        <v>4</v>
      </c>
      <c r="BK33" s="52" t="s">
        <v>9</v>
      </c>
      <c r="BL33" s="65"/>
      <c r="BM33" s="52"/>
      <c r="BN33" s="52">
        <v>1</v>
      </c>
      <c r="BO33" s="52"/>
      <c r="BP33" s="52"/>
      <c r="BQ33" s="55"/>
      <c r="BR33" s="52">
        <v>1</v>
      </c>
      <c r="BS33" s="52"/>
      <c r="BT33" s="55"/>
      <c r="BU33" s="66"/>
      <c r="BV33" s="66"/>
      <c r="BW33" s="56"/>
      <c r="BX33" s="60" t="s">
        <v>226</v>
      </c>
      <c r="BY33" s="61" t="str">
        <f>"Approx "&amp;TEXT((2*AA33),0)&amp;" (2*SP)"</f>
        <v>Approx 20 (2*SP)</v>
      </c>
      <c r="BZ33" s="62" t="s">
        <v>254</v>
      </c>
    </row>
    <row r="34" spans="1:78" s="85" customFormat="1" ht="51.75" thickBot="1" x14ac:dyDescent="0.25">
      <c r="A34" s="14">
        <v>15</v>
      </c>
      <c r="B34" s="29" t="str">
        <f t="shared" ref="B34:B65" si="11">"EMITTER_"&amp;TEXT(A34,"0")</f>
        <v>EMITTER_15</v>
      </c>
      <c r="C34" s="29">
        <f t="shared" si="8"/>
        <v>75</v>
      </c>
      <c r="D34" s="12">
        <f t="shared" ref="D34:D65" si="12">A34*1000+E34</f>
        <v>15001</v>
      </c>
      <c r="E34" s="12">
        <v>1</v>
      </c>
      <c r="F34" s="13" t="s">
        <v>26</v>
      </c>
      <c r="G34" s="14" t="s">
        <v>158</v>
      </c>
      <c r="H34" s="13" t="s">
        <v>24</v>
      </c>
      <c r="I34" s="13"/>
      <c r="J34" s="13"/>
      <c r="K34" s="13"/>
      <c r="L34" s="14">
        <v>9000</v>
      </c>
      <c r="M34" s="14">
        <v>9200</v>
      </c>
      <c r="N34" s="29">
        <f t="shared" si="2"/>
        <v>200</v>
      </c>
      <c r="O34" s="29">
        <f t="shared" ref="O34:O65" si="13">M34-L34</f>
        <v>200</v>
      </c>
      <c r="P34" s="15" t="s">
        <v>6</v>
      </c>
      <c r="Q34" s="15"/>
      <c r="R34" s="116">
        <v>500</v>
      </c>
      <c r="S34" s="103">
        <v>800</v>
      </c>
      <c r="T34" s="13">
        <f t="shared" ref="T34:T65" si="14">S34-R34</f>
        <v>300</v>
      </c>
      <c r="U34" s="15" t="s">
        <v>6</v>
      </c>
      <c r="V34" s="15"/>
      <c r="W34" s="113">
        <v>2</v>
      </c>
      <c r="X34" s="113">
        <v>12</v>
      </c>
      <c r="Y34" s="13">
        <f t="shared" ref="Y34:Y65" si="15">X34-W34</f>
        <v>10</v>
      </c>
      <c r="Z34" s="13">
        <v>5</v>
      </c>
      <c r="AA34" s="13">
        <v>5</v>
      </c>
      <c r="AB34" s="79" t="s">
        <v>316</v>
      </c>
      <c r="AC34" s="23">
        <v>0</v>
      </c>
      <c r="AD34" s="47">
        <v>160</v>
      </c>
      <c r="AE34" s="23">
        <v>0</v>
      </c>
      <c r="AF34" s="23">
        <v>0</v>
      </c>
      <c r="AG34" s="80">
        <v>2</v>
      </c>
      <c r="AH34" s="79">
        <v>5</v>
      </c>
      <c r="AI34" s="23">
        <v>0</v>
      </c>
      <c r="AJ34" s="23">
        <v>0</v>
      </c>
      <c r="AK34" s="23">
        <v>0</v>
      </c>
      <c r="AL34" s="14">
        <v>100</v>
      </c>
      <c r="AM34" s="23">
        <v>20</v>
      </c>
      <c r="AN34" s="23">
        <v>0</v>
      </c>
      <c r="AO34" s="23">
        <v>0</v>
      </c>
      <c r="AP34" s="23">
        <v>0</v>
      </c>
      <c r="AQ34" s="23">
        <v>0</v>
      </c>
      <c r="AR34" s="23">
        <v>0</v>
      </c>
      <c r="AS34" s="23">
        <v>0</v>
      </c>
      <c r="AT34" s="23">
        <v>0</v>
      </c>
      <c r="AU34" s="23">
        <v>0</v>
      </c>
      <c r="AV34" s="23">
        <v>0</v>
      </c>
      <c r="AW34" s="23">
        <v>1</v>
      </c>
      <c r="AX34" s="23">
        <v>0</v>
      </c>
      <c r="AY34" s="23">
        <v>1</v>
      </c>
      <c r="AZ34" s="23">
        <v>0</v>
      </c>
      <c r="BA34" s="29">
        <v>1</v>
      </c>
      <c r="BB34" s="23">
        <v>0</v>
      </c>
      <c r="BC34" s="23">
        <v>0</v>
      </c>
      <c r="BD34" s="23">
        <v>0.9</v>
      </c>
      <c r="BE34" s="23">
        <f>2*BI34</f>
        <v>24</v>
      </c>
      <c r="BF34" s="23">
        <v>0</v>
      </c>
      <c r="BG34" s="23">
        <v>0</v>
      </c>
      <c r="BH34" s="23">
        <v>0</v>
      </c>
      <c r="BI34" s="14">
        <v>12</v>
      </c>
      <c r="BJ34" s="14">
        <v>5</v>
      </c>
      <c r="BK34" s="14" t="s">
        <v>9</v>
      </c>
      <c r="BL34" s="23"/>
      <c r="BM34" s="14">
        <v>1</v>
      </c>
      <c r="BN34" s="14"/>
      <c r="BO34" s="14"/>
      <c r="BP34" s="14"/>
      <c r="BQ34" s="13"/>
      <c r="BR34" s="14"/>
      <c r="BS34" s="14"/>
      <c r="BT34" s="13"/>
      <c r="BU34" s="13"/>
      <c r="BV34" s="13"/>
      <c r="BW34" s="15" t="s">
        <v>235</v>
      </c>
      <c r="BX34" s="43" t="s">
        <v>226</v>
      </c>
      <c r="BY34" s="50" t="str">
        <f>"Approx "&amp;TEXT((2*AA34),0)&amp;" (2*SP)"</f>
        <v>Approx 10 (2*SP)</v>
      </c>
      <c r="BZ34" s="51" t="s">
        <v>255</v>
      </c>
    </row>
    <row r="35" spans="1:78" s="85" customFormat="1" ht="13.5" thickBot="1" x14ac:dyDescent="0.25">
      <c r="A35" s="14">
        <v>15</v>
      </c>
      <c r="B35" s="29" t="str">
        <f t="shared" si="11"/>
        <v>EMITTER_15</v>
      </c>
      <c r="C35" s="29">
        <f t="shared" si="8"/>
        <v>75</v>
      </c>
      <c r="D35" s="12">
        <f t="shared" si="12"/>
        <v>15002</v>
      </c>
      <c r="E35" s="12">
        <v>2</v>
      </c>
      <c r="F35" s="13" t="s">
        <v>134</v>
      </c>
      <c r="G35" s="14" t="s">
        <v>159</v>
      </c>
      <c r="H35" s="13" t="s">
        <v>14</v>
      </c>
      <c r="I35" s="13"/>
      <c r="J35" s="13"/>
      <c r="K35" s="13"/>
      <c r="L35" s="14">
        <v>10600</v>
      </c>
      <c r="M35" s="14">
        <v>10800</v>
      </c>
      <c r="N35" s="29">
        <f t="shared" si="2"/>
        <v>200</v>
      </c>
      <c r="O35" s="29">
        <f t="shared" si="13"/>
        <v>200</v>
      </c>
      <c r="P35" s="15" t="s">
        <v>6</v>
      </c>
      <c r="Q35" s="15"/>
      <c r="R35" s="113">
        <v>60</v>
      </c>
      <c r="S35" s="101">
        <v>66</v>
      </c>
      <c r="T35" s="13">
        <f t="shared" si="14"/>
        <v>6</v>
      </c>
      <c r="U35" s="15" t="s">
        <v>6</v>
      </c>
      <c r="V35" s="15"/>
      <c r="W35" s="113">
        <v>4</v>
      </c>
      <c r="X35" s="113">
        <v>4.5</v>
      </c>
      <c r="Y35" s="13">
        <f t="shared" si="15"/>
        <v>0.5</v>
      </c>
      <c r="Z35" s="13">
        <v>0</v>
      </c>
      <c r="AA35" s="13">
        <v>0</v>
      </c>
      <c r="AB35" s="13" t="s">
        <v>12</v>
      </c>
      <c r="AC35" s="23">
        <v>0</v>
      </c>
      <c r="AD35" s="23">
        <v>0</v>
      </c>
      <c r="AE35" s="23">
        <v>0</v>
      </c>
      <c r="AF35" s="23">
        <v>9999</v>
      </c>
      <c r="AG35" s="80">
        <v>2</v>
      </c>
      <c r="AH35" s="79">
        <v>5</v>
      </c>
      <c r="AI35" s="23">
        <v>0</v>
      </c>
      <c r="AJ35" s="23">
        <v>0</v>
      </c>
      <c r="AK35" s="23">
        <v>0</v>
      </c>
      <c r="AL35" s="14">
        <v>100</v>
      </c>
      <c r="AM35" s="23">
        <v>20</v>
      </c>
      <c r="AN35" s="23">
        <v>0</v>
      </c>
      <c r="AO35" s="23">
        <v>0</v>
      </c>
      <c r="AP35" s="23">
        <v>0</v>
      </c>
      <c r="AQ35" s="23">
        <v>0</v>
      </c>
      <c r="AR35" s="23">
        <v>0</v>
      </c>
      <c r="AS35" s="23">
        <v>0</v>
      </c>
      <c r="AT35" s="23">
        <v>0</v>
      </c>
      <c r="AU35" s="23">
        <v>0</v>
      </c>
      <c r="AV35" s="23">
        <v>0</v>
      </c>
      <c r="AW35" s="23">
        <v>1</v>
      </c>
      <c r="AX35" s="23">
        <v>0</v>
      </c>
      <c r="AY35" s="23">
        <v>1</v>
      </c>
      <c r="AZ35" s="47">
        <v>8</v>
      </c>
      <c r="BA35" s="29">
        <v>1</v>
      </c>
      <c r="BB35" s="23">
        <v>0</v>
      </c>
      <c r="BC35" s="23">
        <v>0</v>
      </c>
      <c r="BD35" s="23">
        <v>0.9</v>
      </c>
      <c r="BE35" s="23">
        <f>2*BI35</f>
        <v>24</v>
      </c>
      <c r="BF35" s="23">
        <v>0</v>
      </c>
      <c r="BG35" s="23">
        <v>0</v>
      </c>
      <c r="BH35" s="23">
        <v>0</v>
      </c>
      <c r="BI35" s="14">
        <v>12</v>
      </c>
      <c r="BJ35" s="14">
        <v>5</v>
      </c>
      <c r="BK35" s="14" t="s">
        <v>9</v>
      </c>
      <c r="BL35" s="23"/>
      <c r="BM35" s="14">
        <v>1</v>
      </c>
      <c r="BN35" s="14"/>
      <c r="BO35" s="14"/>
      <c r="BP35" s="14"/>
      <c r="BQ35" s="13"/>
      <c r="BR35" s="14"/>
      <c r="BS35" s="14"/>
      <c r="BT35" s="13"/>
      <c r="BU35" s="13"/>
      <c r="BV35" s="13"/>
      <c r="BW35" s="15"/>
      <c r="BX35" s="43" t="s">
        <v>225</v>
      </c>
      <c r="BY35" s="15">
        <v>2</v>
      </c>
      <c r="BZ35" s="51" t="s">
        <v>255</v>
      </c>
    </row>
    <row r="36" spans="1:78" s="20" customFormat="1" ht="13.5" thickBot="1" x14ac:dyDescent="0.25">
      <c r="A36" s="14">
        <v>15</v>
      </c>
      <c r="B36" s="29" t="str">
        <f t="shared" si="11"/>
        <v>EMITTER_15</v>
      </c>
      <c r="C36" s="29">
        <f t="shared" ref="C36:C67" si="16">5*A36</f>
        <v>75</v>
      </c>
      <c r="D36" s="12">
        <f t="shared" si="12"/>
        <v>15003</v>
      </c>
      <c r="E36" s="12">
        <v>3</v>
      </c>
      <c r="F36" s="13" t="s">
        <v>35</v>
      </c>
      <c r="G36" s="14" t="s">
        <v>160</v>
      </c>
      <c r="H36" s="13" t="s">
        <v>17</v>
      </c>
      <c r="I36" s="13"/>
      <c r="J36" s="13"/>
      <c r="K36" s="13"/>
      <c r="L36" s="14">
        <v>13500</v>
      </c>
      <c r="M36" s="14">
        <v>13700</v>
      </c>
      <c r="N36" s="29">
        <f t="shared" si="2"/>
        <v>200</v>
      </c>
      <c r="O36" s="29">
        <f t="shared" si="13"/>
        <v>200</v>
      </c>
      <c r="P36" s="15" t="s">
        <v>6</v>
      </c>
      <c r="Q36" s="15"/>
      <c r="R36" s="113">
        <v>5</v>
      </c>
      <c r="S36" s="101">
        <v>8</v>
      </c>
      <c r="T36" s="13">
        <f t="shared" si="14"/>
        <v>3</v>
      </c>
      <c r="U36" s="51" t="s">
        <v>31</v>
      </c>
      <c r="V36" s="15" t="s">
        <v>114</v>
      </c>
      <c r="W36" s="113">
        <v>2</v>
      </c>
      <c r="X36" s="113">
        <v>2.6</v>
      </c>
      <c r="Y36" s="13">
        <f t="shared" si="15"/>
        <v>0.60000000000000009</v>
      </c>
      <c r="Z36" s="79">
        <v>0</v>
      </c>
      <c r="AA36" s="79">
        <v>0</v>
      </c>
      <c r="AB36" s="13" t="s">
        <v>12</v>
      </c>
      <c r="AC36" s="23">
        <v>0</v>
      </c>
      <c r="AD36" s="23">
        <v>0</v>
      </c>
      <c r="AE36" s="23">
        <v>0</v>
      </c>
      <c r="AF36" s="23">
        <v>9999</v>
      </c>
      <c r="AG36" s="80">
        <v>2</v>
      </c>
      <c r="AH36" s="79">
        <v>5</v>
      </c>
      <c r="AI36" s="23">
        <v>0</v>
      </c>
      <c r="AJ36" s="23">
        <v>0</v>
      </c>
      <c r="AK36" s="23">
        <v>0</v>
      </c>
      <c r="AL36" s="14">
        <v>100</v>
      </c>
      <c r="AM36" s="23">
        <v>20</v>
      </c>
      <c r="AN36" s="23">
        <v>0</v>
      </c>
      <c r="AO36" s="23">
        <v>0</v>
      </c>
      <c r="AP36" s="23">
        <v>0</v>
      </c>
      <c r="AQ36" s="23">
        <v>0</v>
      </c>
      <c r="AR36" s="23">
        <v>0</v>
      </c>
      <c r="AS36" s="23">
        <v>0</v>
      </c>
      <c r="AT36" s="23">
        <v>0</v>
      </c>
      <c r="AU36" s="23">
        <v>0</v>
      </c>
      <c r="AV36" s="23">
        <v>0</v>
      </c>
      <c r="AW36" s="23">
        <v>1</v>
      </c>
      <c r="AX36" s="23">
        <v>0</v>
      </c>
      <c r="AY36" s="23">
        <v>1</v>
      </c>
      <c r="AZ36" s="47">
        <v>8</v>
      </c>
      <c r="BA36" s="29">
        <v>1</v>
      </c>
      <c r="BB36" s="23">
        <v>0</v>
      </c>
      <c r="BC36" s="23">
        <v>0</v>
      </c>
      <c r="BD36" s="23">
        <v>0.9</v>
      </c>
      <c r="BE36" s="23">
        <f>2*BI36</f>
        <v>24</v>
      </c>
      <c r="BF36" s="23">
        <v>0</v>
      </c>
      <c r="BG36" s="23">
        <v>0</v>
      </c>
      <c r="BH36" s="23">
        <v>0</v>
      </c>
      <c r="BI36" s="14">
        <v>12</v>
      </c>
      <c r="BJ36" s="14">
        <v>5</v>
      </c>
      <c r="BK36" s="14" t="s">
        <v>9</v>
      </c>
      <c r="BL36" s="23"/>
      <c r="BM36" s="14">
        <v>1</v>
      </c>
      <c r="BN36" s="14"/>
      <c r="BO36" s="14"/>
      <c r="BP36" s="14"/>
      <c r="BQ36" s="13"/>
      <c r="BR36" s="14"/>
      <c r="BS36" s="14"/>
      <c r="BT36" s="13"/>
      <c r="BU36" s="13"/>
      <c r="BV36" s="13"/>
      <c r="BW36" s="15"/>
      <c r="BX36" s="43" t="s">
        <v>225</v>
      </c>
      <c r="BY36" s="15">
        <v>2</v>
      </c>
      <c r="BZ36" s="51" t="s">
        <v>255</v>
      </c>
    </row>
    <row r="37" spans="1:78" s="63" customFormat="1" ht="39" thickBot="1" x14ac:dyDescent="0.25">
      <c r="A37" s="52">
        <v>16</v>
      </c>
      <c r="B37" s="53" t="str">
        <f t="shared" si="11"/>
        <v>EMITTER_16</v>
      </c>
      <c r="C37" s="53">
        <f t="shared" si="16"/>
        <v>80</v>
      </c>
      <c r="D37" s="12">
        <f t="shared" si="12"/>
        <v>16001</v>
      </c>
      <c r="E37" s="54">
        <v>1</v>
      </c>
      <c r="F37" s="55" t="s">
        <v>72</v>
      </c>
      <c r="G37" s="53" t="str">
        <f t="shared" ref="G37:G62" si="17">"Z0"&amp;TEXT(A37,"0")&amp;"Z"</f>
        <v>Z016Z</v>
      </c>
      <c r="H37" s="55" t="s">
        <v>24</v>
      </c>
      <c r="I37" s="55"/>
      <c r="J37" s="55"/>
      <c r="K37" s="55"/>
      <c r="L37" s="74">
        <v>28100</v>
      </c>
      <c r="M37" s="74">
        <v>28300</v>
      </c>
      <c r="N37" s="53">
        <v>200</v>
      </c>
      <c r="O37" s="29">
        <f t="shared" si="13"/>
        <v>200</v>
      </c>
      <c r="P37" s="56" t="s">
        <v>31</v>
      </c>
      <c r="Q37" s="56" t="s">
        <v>139</v>
      </c>
      <c r="R37" s="114">
        <v>100</v>
      </c>
      <c r="S37" s="102">
        <v>500</v>
      </c>
      <c r="T37" s="55">
        <f t="shared" si="14"/>
        <v>400</v>
      </c>
      <c r="U37" s="56" t="s">
        <v>6</v>
      </c>
      <c r="V37" s="56"/>
      <c r="W37" s="114">
        <v>2</v>
      </c>
      <c r="X37" s="114">
        <v>3</v>
      </c>
      <c r="Y37" s="55">
        <f t="shared" si="15"/>
        <v>1</v>
      </c>
      <c r="Z37" s="55">
        <v>4</v>
      </c>
      <c r="AA37" s="55">
        <v>4</v>
      </c>
      <c r="AB37" s="62" t="s">
        <v>316</v>
      </c>
      <c r="AC37" s="57">
        <v>0</v>
      </c>
      <c r="AD37" s="58">
        <v>360</v>
      </c>
      <c r="AE37" s="57">
        <v>0</v>
      </c>
      <c r="AF37" s="57">
        <v>0</v>
      </c>
      <c r="AG37" s="52">
        <v>2</v>
      </c>
      <c r="AH37" s="58">
        <v>10</v>
      </c>
      <c r="AI37" s="57">
        <v>0</v>
      </c>
      <c r="AJ37" s="57">
        <v>0</v>
      </c>
      <c r="AK37" s="57" t="s">
        <v>211</v>
      </c>
      <c r="AL37" s="52">
        <v>120</v>
      </c>
      <c r="AM37" s="57">
        <v>25</v>
      </c>
      <c r="AN37" s="57">
        <v>0</v>
      </c>
      <c r="AO37" s="57">
        <v>0</v>
      </c>
      <c r="AP37" s="57">
        <v>0</v>
      </c>
      <c r="AQ37" s="57">
        <v>0</v>
      </c>
      <c r="AR37" s="57">
        <v>0</v>
      </c>
      <c r="AS37" s="57">
        <v>0</v>
      </c>
      <c r="AT37" s="57">
        <v>0</v>
      </c>
      <c r="AU37" s="57">
        <v>0</v>
      </c>
      <c r="AV37" s="57">
        <v>0</v>
      </c>
      <c r="AW37" s="57">
        <v>1</v>
      </c>
      <c r="AX37" s="57">
        <v>0</v>
      </c>
      <c r="AY37" s="57">
        <v>1</v>
      </c>
      <c r="AZ37" s="57">
        <v>0</v>
      </c>
      <c r="BA37" s="53">
        <v>0</v>
      </c>
      <c r="BB37" s="57">
        <v>0</v>
      </c>
      <c r="BC37" s="57">
        <v>0</v>
      </c>
      <c r="BD37" s="57">
        <v>0.8</v>
      </c>
      <c r="BE37" s="58">
        <v>20</v>
      </c>
      <c r="BF37" s="57">
        <v>0</v>
      </c>
      <c r="BG37" s="57">
        <v>0</v>
      </c>
      <c r="BH37" s="57">
        <v>0</v>
      </c>
      <c r="BI37" s="52" t="s">
        <v>133</v>
      </c>
      <c r="BJ37" s="52">
        <v>2</v>
      </c>
      <c r="BK37" s="52" t="s">
        <v>9</v>
      </c>
      <c r="BL37" s="65"/>
      <c r="BM37" s="52">
        <v>1</v>
      </c>
      <c r="BN37" s="52"/>
      <c r="BO37" s="52"/>
      <c r="BP37" s="52"/>
      <c r="BQ37" s="55"/>
      <c r="BR37" s="52"/>
      <c r="BS37" s="52"/>
      <c r="BT37" s="55"/>
      <c r="BU37" s="55"/>
      <c r="BV37" s="55"/>
      <c r="BW37" s="56"/>
      <c r="BX37" s="60" t="s">
        <v>226</v>
      </c>
      <c r="BY37" s="56" t="str">
        <f>"Approx "&amp;TEXT((2*AA37),0)&amp;" (2*SP)"</f>
        <v>Approx 8 (2*SP)</v>
      </c>
      <c r="BZ37" s="62" t="s">
        <v>254</v>
      </c>
    </row>
    <row r="38" spans="1:78" s="63" customFormat="1" ht="39" thickBot="1" x14ac:dyDescent="0.25">
      <c r="A38" s="52">
        <v>16</v>
      </c>
      <c r="B38" s="53" t="str">
        <f t="shared" si="11"/>
        <v>EMITTER_16</v>
      </c>
      <c r="C38" s="53">
        <f t="shared" si="16"/>
        <v>80</v>
      </c>
      <c r="D38" s="12">
        <f t="shared" si="12"/>
        <v>16002</v>
      </c>
      <c r="E38" s="54">
        <v>2</v>
      </c>
      <c r="F38" s="55" t="s">
        <v>72</v>
      </c>
      <c r="G38" s="53" t="str">
        <f t="shared" si="17"/>
        <v>Z016Z</v>
      </c>
      <c r="H38" s="55" t="s">
        <v>24</v>
      </c>
      <c r="I38" s="55"/>
      <c r="J38" s="55"/>
      <c r="K38" s="55"/>
      <c r="L38" s="74">
        <v>28100</v>
      </c>
      <c r="M38" s="74">
        <v>28300</v>
      </c>
      <c r="N38" s="53">
        <v>200</v>
      </c>
      <c r="O38" s="29">
        <f t="shared" si="13"/>
        <v>200</v>
      </c>
      <c r="P38" s="56" t="s">
        <v>6</v>
      </c>
      <c r="Q38" s="56" t="s">
        <v>209</v>
      </c>
      <c r="R38" s="114">
        <v>100</v>
      </c>
      <c r="S38" s="102">
        <v>500</v>
      </c>
      <c r="T38" s="55">
        <f t="shared" si="14"/>
        <v>400</v>
      </c>
      <c r="U38" s="56" t="s">
        <v>31</v>
      </c>
      <c r="V38" s="56" t="s">
        <v>236</v>
      </c>
      <c r="W38" s="114">
        <v>2</v>
      </c>
      <c r="X38" s="114">
        <v>3</v>
      </c>
      <c r="Y38" s="55">
        <f t="shared" si="15"/>
        <v>1</v>
      </c>
      <c r="Z38" s="55">
        <v>4</v>
      </c>
      <c r="AA38" s="55">
        <v>4</v>
      </c>
      <c r="AB38" s="62" t="s">
        <v>316</v>
      </c>
      <c r="AC38" s="57">
        <v>0</v>
      </c>
      <c r="AD38" s="58">
        <v>360</v>
      </c>
      <c r="AE38" s="57">
        <v>0</v>
      </c>
      <c r="AF38" s="57">
        <v>0</v>
      </c>
      <c r="AG38" s="52">
        <v>2</v>
      </c>
      <c r="AH38" s="58">
        <v>10</v>
      </c>
      <c r="AI38" s="57">
        <v>0</v>
      </c>
      <c r="AJ38" s="57">
        <v>0</v>
      </c>
      <c r="AK38" s="57">
        <v>0</v>
      </c>
      <c r="AL38" s="52">
        <v>120</v>
      </c>
      <c r="AM38" s="57">
        <v>25</v>
      </c>
      <c r="AN38" s="57">
        <v>0</v>
      </c>
      <c r="AO38" s="57">
        <v>0</v>
      </c>
      <c r="AP38" s="57">
        <v>0</v>
      </c>
      <c r="AQ38" s="57">
        <v>0</v>
      </c>
      <c r="AR38" s="57">
        <v>0</v>
      </c>
      <c r="AS38" s="57">
        <v>0</v>
      </c>
      <c r="AT38" s="57">
        <v>0</v>
      </c>
      <c r="AU38" s="57">
        <v>0</v>
      </c>
      <c r="AV38" s="57">
        <v>0</v>
      </c>
      <c r="AW38" s="57">
        <v>1</v>
      </c>
      <c r="AX38" s="57">
        <v>0</v>
      </c>
      <c r="AY38" s="57">
        <v>1</v>
      </c>
      <c r="AZ38" s="57">
        <v>0</v>
      </c>
      <c r="BA38" s="53">
        <v>0</v>
      </c>
      <c r="BB38" s="57">
        <v>0</v>
      </c>
      <c r="BC38" s="57">
        <v>0</v>
      </c>
      <c r="BD38" s="57">
        <v>0.8</v>
      </c>
      <c r="BE38" s="58">
        <v>20</v>
      </c>
      <c r="BF38" s="57">
        <v>0</v>
      </c>
      <c r="BG38" s="57">
        <v>0</v>
      </c>
      <c r="BH38" s="57">
        <v>0</v>
      </c>
      <c r="BI38" s="52" t="s">
        <v>133</v>
      </c>
      <c r="BJ38" s="52">
        <v>2</v>
      </c>
      <c r="BK38" s="52" t="s">
        <v>9</v>
      </c>
      <c r="BL38" s="65"/>
      <c r="BM38" s="52">
        <v>1</v>
      </c>
      <c r="BN38" s="52"/>
      <c r="BO38" s="52"/>
      <c r="BP38" s="52"/>
      <c r="BQ38" s="55"/>
      <c r="BR38" s="52"/>
      <c r="BS38" s="52"/>
      <c r="BT38" s="55"/>
      <c r="BU38" s="55"/>
      <c r="BV38" s="55"/>
      <c r="BW38" s="64"/>
      <c r="BX38" s="60" t="s">
        <v>226</v>
      </c>
      <c r="BY38" s="56" t="str">
        <f>"Approx "&amp;TEXT((2*AA38),0)&amp;" (2*SP)"</f>
        <v>Approx 8 (2*SP)</v>
      </c>
      <c r="BZ38" s="62" t="s">
        <v>254</v>
      </c>
    </row>
    <row r="39" spans="1:78" s="63" customFormat="1" ht="39" thickBot="1" x14ac:dyDescent="0.25">
      <c r="A39" s="52">
        <v>16</v>
      </c>
      <c r="B39" s="53" t="str">
        <f t="shared" si="11"/>
        <v>EMITTER_16</v>
      </c>
      <c r="C39" s="53">
        <f t="shared" si="16"/>
        <v>80</v>
      </c>
      <c r="D39" s="12">
        <f t="shared" si="12"/>
        <v>16003</v>
      </c>
      <c r="E39" s="54">
        <v>3</v>
      </c>
      <c r="F39" s="55" t="s">
        <v>72</v>
      </c>
      <c r="G39" s="53" t="str">
        <f t="shared" si="17"/>
        <v>Z016Z</v>
      </c>
      <c r="H39" s="55" t="s">
        <v>24</v>
      </c>
      <c r="I39" s="55"/>
      <c r="J39" s="55"/>
      <c r="K39" s="55"/>
      <c r="L39" s="74">
        <v>28100</v>
      </c>
      <c r="M39" s="74">
        <v>28300</v>
      </c>
      <c r="N39" s="53">
        <v>200</v>
      </c>
      <c r="O39" s="29">
        <f t="shared" si="13"/>
        <v>200</v>
      </c>
      <c r="P39" s="56" t="s">
        <v>6</v>
      </c>
      <c r="Q39" s="56" t="s">
        <v>209</v>
      </c>
      <c r="R39" s="114">
        <v>100</v>
      </c>
      <c r="S39" s="102">
        <v>500</v>
      </c>
      <c r="T39" s="55">
        <f t="shared" si="14"/>
        <v>400</v>
      </c>
      <c r="U39" s="56" t="s">
        <v>31</v>
      </c>
      <c r="V39" s="56" t="s">
        <v>237</v>
      </c>
      <c r="W39" s="114">
        <v>2</v>
      </c>
      <c r="X39" s="114">
        <v>3</v>
      </c>
      <c r="Y39" s="55">
        <f t="shared" si="15"/>
        <v>1</v>
      </c>
      <c r="Z39" s="55">
        <v>4</v>
      </c>
      <c r="AA39" s="55">
        <v>4</v>
      </c>
      <c r="AB39" s="62" t="s">
        <v>316</v>
      </c>
      <c r="AC39" s="57">
        <v>0</v>
      </c>
      <c r="AD39" s="58">
        <v>360</v>
      </c>
      <c r="AE39" s="57">
        <v>0</v>
      </c>
      <c r="AF39" s="57">
        <v>0</v>
      </c>
      <c r="AG39" s="52">
        <v>2</v>
      </c>
      <c r="AH39" s="58">
        <v>10</v>
      </c>
      <c r="AI39" s="57">
        <v>0</v>
      </c>
      <c r="AJ39" s="57">
        <v>0</v>
      </c>
      <c r="AK39" s="57">
        <v>0</v>
      </c>
      <c r="AL39" s="52">
        <v>120</v>
      </c>
      <c r="AM39" s="57">
        <v>25</v>
      </c>
      <c r="AN39" s="57">
        <v>0</v>
      </c>
      <c r="AO39" s="57">
        <v>0</v>
      </c>
      <c r="AP39" s="57">
        <v>0</v>
      </c>
      <c r="AQ39" s="57">
        <v>0</v>
      </c>
      <c r="AR39" s="57">
        <v>0</v>
      </c>
      <c r="AS39" s="57">
        <v>0</v>
      </c>
      <c r="AT39" s="57">
        <v>0</v>
      </c>
      <c r="AU39" s="57">
        <v>0</v>
      </c>
      <c r="AV39" s="57">
        <v>0</v>
      </c>
      <c r="AW39" s="57">
        <v>1</v>
      </c>
      <c r="AX39" s="57">
        <v>0</v>
      </c>
      <c r="AY39" s="57">
        <v>1</v>
      </c>
      <c r="AZ39" s="57">
        <v>0</v>
      </c>
      <c r="BA39" s="53">
        <v>0</v>
      </c>
      <c r="BB39" s="57">
        <v>0</v>
      </c>
      <c r="BC39" s="57">
        <v>0</v>
      </c>
      <c r="BD39" s="57">
        <v>0.8</v>
      </c>
      <c r="BE39" s="58">
        <v>20</v>
      </c>
      <c r="BF39" s="57">
        <v>0</v>
      </c>
      <c r="BG39" s="57">
        <v>0</v>
      </c>
      <c r="BH39" s="57">
        <v>0</v>
      </c>
      <c r="BI39" s="52" t="s">
        <v>133</v>
      </c>
      <c r="BJ39" s="52">
        <v>2</v>
      </c>
      <c r="BK39" s="52" t="s">
        <v>9</v>
      </c>
      <c r="BL39" s="65"/>
      <c r="BM39" s="52">
        <v>1</v>
      </c>
      <c r="BN39" s="52"/>
      <c r="BO39" s="52"/>
      <c r="BP39" s="52"/>
      <c r="BQ39" s="55"/>
      <c r="BR39" s="52"/>
      <c r="BS39" s="52"/>
      <c r="BT39" s="55"/>
      <c r="BU39" s="55"/>
      <c r="BV39" s="55"/>
      <c r="BW39" s="64"/>
      <c r="BX39" s="60" t="s">
        <v>226</v>
      </c>
      <c r="BY39" s="56" t="str">
        <f>"Approx "&amp;TEXT((2*AA39),0)&amp;" (2*SP)"</f>
        <v>Approx 8 (2*SP)</v>
      </c>
      <c r="BZ39" s="62" t="s">
        <v>254</v>
      </c>
    </row>
    <row r="40" spans="1:78" s="63" customFormat="1" ht="39" thickBot="1" x14ac:dyDescent="0.25">
      <c r="A40" s="52">
        <v>16</v>
      </c>
      <c r="B40" s="53" t="str">
        <f t="shared" si="11"/>
        <v>EMITTER_16</v>
      </c>
      <c r="C40" s="53">
        <f t="shared" si="16"/>
        <v>80</v>
      </c>
      <c r="D40" s="12">
        <f t="shared" si="12"/>
        <v>16004</v>
      </c>
      <c r="E40" s="54">
        <v>4</v>
      </c>
      <c r="F40" s="55" t="s">
        <v>72</v>
      </c>
      <c r="G40" s="53" t="str">
        <f t="shared" si="17"/>
        <v>Z016Z</v>
      </c>
      <c r="H40" s="55" t="s">
        <v>24</v>
      </c>
      <c r="I40" s="55"/>
      <c r="J40" s="55"/>
      <c r="K40" s="55"/>
      <c r="L40" s="74">
        <v>28100</v>
      </c>
      <c r="M40" s="74">
        <v>28300</v>
      </c>
      <c r="N40" s="53">
        <v>200</v>
      </c>
      <c r="O40" s="29">
        <f t="shared" si="13"/>
        <v>200</v>
      </c>
      <c r="P40" s="56" t="s">
        <v>31</v>
      </c>
      <c r="Q40" s="56" t="s">
        <v>139</v>
      </c>
      <c r="R40" s="117">
        <v>350</v>
      </c>
      <c r="S40" s="106">
        <v>475</v>
      </c>
      <c r="T40" s="55">
        <f t="shared" si="14"/>
        <v>125</v>
      </c>
      <c r="U40" s="56" t="s">
        <v>11</v>
      </c>
      <c r="V40" s="56" t="s">
        <v>208</v>
      </c>
      <c r="W40" s="114">
        <v>2</v>
      </c>
      <c r="X40" s="114">
        <v>3</v>
      </c>
      <c r="Y40" s="55">
        <f t="shared" si="15"/>
        <v>1</v>
      </c>
      <c r="Z40" s="55">
        <v>4</v>
      </c>
      <c r="AA40" s="55">
        <v>4</v>
      </c>
      <c r="AB40" s="62" t="s">
        <v>316</v>
      </c>
      <c r="AC40" s="57">
        <v>0</v>
      </c>
      <c r="AD40" s="58">
        <v>360</v>
      </c>
      <c r="AE40" s="57">
        <v>0</v>
      </c>
      <c r="AF40" s="57">
        <v>0</v>
      </c>
      <c r="AG40" s="52">
        <v>2</v>
      </c>
      <c r="AH40" s="58">
        <v>10</v>
      </c>
      <c r="AI40" s="57">
        <v>0</v>
      </c>
      <c r="AJ40" s="57">
        <v>0</v>
      </c>
      <c r="AK40" s="57" t="s">
        <v>211</v>
      </c>
      <c r="AL40" s="52">
        <v>120</v>
      </c>
      <c r="AM40" s="57">
        <v>25</v>
      </c>
      <c r="AN40" s="57">
        <v>0</v>
      </c>
      <c r="AO40" s="57">
        <v>0</v>
      </c>
      <c r="AP40" s="57">
        <v>0</v>
      </c>
      <c r="AQ40" s="57">
        <v>0</v>
      </c>
      <c r="AR40" s="57">
        <v>0</v>
      </c>
      <c r="AS40" s="57">
        <v>0</v>
      </c>
      <c r="AT40" s="57">
        <v>0</v>
      </c>
      <c r="AU40" s="57">
        <v>0</v>
      </c>
      <c r="AV40" s="57">
        <v>0</v>
      </c>
      <c r="AW40" s="57">
        <v>1</v>
      </c>
      <c r="AX40" s="57">
        <v>0</v>
      </c>
      <c r="AY40" s="57">
        <v>1</v>
      </c>
      <c r="AZ40" s="57">
        <v>0</v>
      </c>
      <c r="BA40" s="53">
        <v>0</v>
      </c>
      <c r="BB40" s="57">
        <v>0</v>
      </c>
      <c r="BC40" s="57">
        <v>0</v>
      </c>
      <c r="BD40" s="57">
        <v>0.8</v>
      </c>
      <c r="BE40" s="58">
        <v>20</v>
      </c>
      <c r="BF40" s="57">
        <v>0</v>
      </c>
      <c r="BG40" s="57">
        <v>0</v>
      </c>
      <c r="BH40" s="57">
        <v>0</v>
      </c>
      <c r="BI40" s="52" t="s">
        <v>133</v>
      </c>
      <c r="BJ40" s="52">
        <v>2</v>
      </c>
      <c r="BK40" s="52" t="s">
        <v>9</v>
      </c>
      <c r="BL40" s="65"/>
      <c r="BM40" s="52">
        <v>1</v>
      </c>
      <c r="BN40" s="52"/>
      <c r="BO40" s="52"/>
      <c r="BP40" s="52"/>
      <c r="BQ40" s="55"/>
      <c r="BR40" s="52"/>
      <c r="BS40" s="52"/>
      <c r="BT40" s="55"/>
      <c r="BU40" s="55"/>
      <c r="BV40" s="55"/>
      <c r="BW40" s="56"/>
      <c r="BX40" s="60" t="s">
        <v>226</v>
      </c>
      <c r="BY40" s="56" t="str">
        <f>"Approx "&amp;TEXT((2*AA40),0)&amp;" (2*SP)"</f>
        <v>Approx 8 (2*SP)</v>
      </c>
      <c r="BZ40" s="62" t="s">
        <v>254</v>
      </c>
    </row>
    <row r="41" spans="1:78" s="20" customFormat="1" ht="26.25" thickBot="1" x14ac:dyDescent="0.25">
      <c r="A41" s="14">
        <v>17</v>
      </c>
      <c r="B41" s="29" t="str">
        <f t="shared" si="11"/>
        <v>EMITTER_17</v>
      </c>
      <c r="C41" s="29">
        <f t="shared" si="16"/>
        <v>85</v>
      </c>
      <c r="D41" s="12">
        <f t="shared" si="12"/>
        <v>17001</v>
      </c>
      <c r="E41" s="12">
        <v>1</v>
      </c>
      <c r="F41" s="13" t="s">
        <v>23</v>
      </c>
      <c r="G41" s="29" t="str">
        <f t="shared" si="17"/>
        <v>Z017Z</v>
      </c>
      <c r="H41" s="13" t="s">
        <v>24</v>
      </c>
      <c r="I41" s="13"/>
      <c r="J41" s="13"/>
      <c r="K41" s="13"/>
      <c r="L41" s="14">
        <v>13000</v>
      </c>
      <c r="M41" s="14">
        <v>13200</v>
      </c>
      <c r="N41" s="29">
        <f t="shared" ref="N41:N72" si="18">M41-L41</f>
        <v>200</v>
      </c>
      <c r="O41" s="29">
        <f t="shared" si="13"/>
        <v>200</v>
      </c>
      <c r="P41" s="15" t="s">
        <v>6</v>
      </c>
      <c r="Q41" s="15"/>
      <c r="R41" s="113">
        <v>533</v>
      </c>
      <c r="S41" s="101">
        <v>570</v>
      </c>
      <c r="T41" s="13">
        <f t="shared" si="14"/>
        <v>37</v>
      </c>
      <c r="U41" s="15" t="s">
        <v>109</v>
      </c>
      <c r="V41" s="15" t="s">
        <v>117</v>
      </c>
      <c r="W41" s="113">
        <v>1</v>
      </c>
      <c r="X41" s="113">
        <v>2</v>
      </c>
      <c r="Y41" s="13">
        <f t="shared" si="15"/>
        <v>1</v>
      </c>
      <c r="Z41" s="79">
        <v>3.3</v>
      </c>
      <c r="AA41" s="79">
        <v>3.3</v>
      </c>
      <c r="AB41" s="51" t="s">
        <v>324</v>
      </c>
      <c r="AC41" s="23">
        <v>100</v>
      </c>
      <c r="AD41" s="23">
        <v>120</v>
      </c>
      <c r="AE41" s="23">
        <v>0</v>
      </c>
      <c r="AF41" s="47">
        <v>16.53</v>
      </c>
      <c r="AG41" s="14">
        <v>3</v>
      </c>
      <c r="AH41" s="47">
        <v>4</v>
      </c>
      <c r="AI41" s="23">
        <v>3</v>
      </c>
      <c r="AJ41" s="23">
        <v>40</v>
      </c>
      <c r="AK41" s="23">
        <v>0</v>
      </c>
      <c r="AL41" s="14">
        <v>110</v>
      </c>
      <c r="AM41" s="23">
        <v>20</v>
      </c>
      <c r="AN41" s="23">
        <v>0</v>
      </c>
      <c r="AO41" s="23">
        <v>0</v>
      </c>
      <c r="AP41" s="23">
        <v>0</v>
      </c>
      <c r="AQ41" s="23">
        <v>0</v>
      </c>
      <c r="AR41" s="49">
        <v>5</v>
      </c>
      <c r="AS41" s="23">
        <v>20</v>
      </c>
      <c r="AT41" s="23">
        <v>0</v>
      </c>
      <c r="AU41" s="23">
        <v>0</v>
      </c>
      <c r="AV41" s="23">
        <v>0</v>
      </c>
      <c r="AW41" s="23">
        <v>1</v>
      </c>
      <c r="AX41" s="23">
        <v>0</v>
      </c>
      <c r="AY41" s="79">
        <v>0</v>
      </c>
      <c r="AZ41" s="23">
        <v>2</v>
      </c>
      <c r="BA41" s="29">
        <v>0</v>
      </c>
      <c r="BB41" s="23">
        <v>0</v>
      </c>
      <c r="BC41" s="23">
        <v>0</v>
      </c>
      <c r="BD41" s="23">
        <v>0.8</v>
      </c>
      <c r="BE41" s="47">
        <v>20</v>
      </c>
      <c r="BF41" s="47">
        <v>0</v>
      </c>
      <c r="BG41" s="47">
        <v>1</v>
      </c>
      <c r="BH41" s="23">
        <v>0</v>
      </c>
      <c r="BI41" s="14" t="s">
        <v>133</v>
      </c>
      <c r="BJ41" s="14">
        <v>3</v>
      </c>
      <c r="BK41" s="14" t="s">
        <v>9</v>
      </c>
      <c r="BL41" s="23"/>
      <c r="BM41" s="14">
        <v>1</v>
      </c>
      <c r="BN41" s="14"/>
      <c r="BO41" s="14"/>
      <c r="BP41" s="14"/>
      <c r="BQ41" s="13"/>
      <c r="BR41" s="14"/>
      <c r="BS41" s="14"/>
      <c r="BT41" s="13"/>
      <c r="BU41" s="13"/>
      <c r="BV41" s="13"/>
      <c r="BW41" s="15"/>
      <c r="BX41" s="43" t="s">
        <v>226</v>
      </c>
      <c r="BY41" s="15" t="str">
        <f>"Approx "&amp;TEXT((2*AA41),0)&amp;" (2*SP)"</f>
        <v>Approx 7 (2*SP)</v>
      </c>
      <c r="BZ41" s="51" t="s">
        <v>254</v>
      </c>
    </row>
    <row r="42" spans="1:78" s="63" customFormat="1" ht="26.25" thickBot="1" x14ac:dyDescent="0.25">
      <c r="A42" s="53">
        <v>18</v>
      </c>
      <c r="B42" s="53" t="str">
        <f t="shared" si="11"/>
        <v>EMITTER_18</v>
      </c>
      <c r="C42" s="53">
        <f t="shared" si="16"/>
        <v>90</v>
      </c>
      <c r="D42" s="12">
        <f t="shared" si="12"/>
        <v>18001</v>
      </c>
      <c r="E42" s="53">
        <v>1</v>
      </c>
      <c r="F42" s="66" t="s">
        <v>262</v>
      </c>
      <c r="G42" s="53" t="str">
        <f t="shared" si="17"/>
        <v>Z018Z</v>
      </c>
      <c r="H42" s="57" t="s">
        <v>61</v>
      </c>
      <c r="I42" s="57"/>
      <c r="J42" s="57"/>
      <c r="K42" s="57"/>
      <c r="L42" s="53">
        <v>9000</v>
      </c>
      <c r="M42" s="53">
        <v>9500</v>
      </c>
      <c r="N42" s="53">
        <f t="shared" si="18"/>
        <v>500</v>
      </c>
      <c r="O42" s="29">
        <f t="shared" si="13"/>
        <v>500</v>
      </c>
      <c r="P42" s="61" t="s">
        <v>6</v>
      </c>
      <c r="Q42" s="61"/>
      <c r="R42" s="118">
        <v>400</v>
      </c>
      <c r="S42" s="107">
        <v>1000</v>
      </c>
      <c r="T42" s="55">
        <f t="shared" si="14"/>
        <v>600</v>
      </c>
      <c r="U42" s="61" t="s">
        <v>6</v>
      </c>
      <c r="V42" s="61"/>
      <c r="W42" s="118">
        <v>10</v>
      </c>
      <c r="X42" s="118">
        <v>20</v>
      </c>
      <c r="Y42" s="55">
        <f t="shared" si="15"/>
        <v>10</v>
      </c>
      <c r="Z42" s="57">
        <v>4</v>
      </c>
      <c r="AA42" s="57">
        <v>30</v>
      </c>
      <c r="AB42" s="66" t="s">
        <v>316</v>
      </c>
      <c r="AC42" s="57">
        <v>0</v>
      </c>
      <c r="AD42" s="58">
        <v>60</v>
      </c>
      <c r="AE42" s="57">
        <v>0</v>
      </c>
      <c r="AF42" s="57"/>
      <c r="AG42" s="52">
        <v>2</v>
      </c>
      <c r="AH42" s="57">
        <v>5</v>
      </c>
      <c r="AI42" s="57">
        <v>0</v>
      </c>
      <c r="AJ42" s="57">
        <v>0</v>
      </c>
      <c r="AK42" s="57">
        <v>0</v>
      </c>
      <c r="AL42" s="52">
        <v>95</v>
      </c>
      <c r="AM42" s="57">
        <v>20</v>
      </c>
      <c r="AN42" s="57">
        <v>0</v>
      </c>
      <c r="AO42" s="57">
        <v>0</v>
      </c>
      <c r="AP42" s="57">
        <v>0</v>
      </c>
      <c r="AQ42" s="57">
        <v>0</v>
      </c>
      <c r="AR42" s="57">
        <v>0</v>
      </c>
      <c r="AS42" s="57">
        <v>0</v>
      </c>
      <c r="AT42" s="57">
        <v>0</v>
      </c>
      <c r="AU42" s="57">
        <v>0</v>
      </c>
      <c r="AV42" s="57">
        <v>0</v>
      </c>
      <c r="AW42" s="57">
        <v>1</v>
      </c>
      <c r="AX42" s="57">
        <v>0</v>
      </c>
      <c r="AY42" s="57">
        <v>1</v>
      </c>
      <c r="AZ42" s="57">
        <v>0</v>
      </c>
      <c r="BA42" s="53">
        <v>1</v>
      </c>
      <c r="BB42" s="57">
        <v>0</v>
      </c>
      <c r="BC42" s="57">
        <v>0</v>
      </c>
      <c r="BD42" s="57">
        <v>0.9</v>
      </c>
      <c r="BE42" s="57">
        <f>2*BI42</f>
        <v>40</v>
      </c>
      <c r="BF42" s="58">
        <v>1</v>
      </c>
      <c r="BG42" s="57">
        <v>0</v>
      </c>
      <c r="BH42" s="58">
        <v>700</v>
      </c>
      <c r="BI42" s="52">
        <v>20</v>
      </c>
      <c r="BJ42" s="52">
        <v>5</v>
      </c>
      <c r="BK42" s="52" t="s">
        <v>9</v>
      </c>
      <c r="BL42" s="65"/>
      <c r="BM42" s="52">
        <v>1</v>
      </c>
      <c r="BN42" s="52"/>
      <c r="BO42" s="52"/>
      <c r="BP42" s="52"/>
      <c r="BQ42" s="55"/>
      <c r="BR42" s="52">
        <v>1</v>
      </c>
      <c r="BS42" s="52"/>
      <c r="BT42" s="55"/>
      <c r="BU42" s="55"/>
      <c r="BV42" s="55"/>
      <c r="BW42" s="56" t="s">
        <v>142</v>
      </c>
      <c r="BX42" s="60" t="s">
        <v>226</v>
      </c>
      <c r="BY42" s="56" t="str">
        <f>"Approx "&amp;TEXT((3*AA42),0)&amp;" (3*SP)"</f>
        <v>Approx 90 (3*SP)</v>
      </c>
      <c r="BZ42" s="62" t="s">
        <v>254</v>
      </c>
    </row>
    <row r="43" spans="1:78" s="75" customFormat="1" ht="13.5" thickBot="1" x14ac:dyDescent="0.25">
      <c r="A43" s="53">
        <v>18</v>
      </c>
      <c r="B43" s="53" t="str">
        <f t="shared" si="11"/>
        <v>EMITTER_18</v>
      </c>
      <c r="C43" s="53">
        <f t="shared" si="16"/>
        <v>90</v>
      </c>
      <c r="D43" s="12">
        <f t="shared" si="12"/>
        <v>18002</v>
      </c>
      <c r="E43" s="53">
        <v>2</v>
      </c>
      <c r="F43" s="66" t="s">
        <v>263</v>
      </c>
      <c r="G43" s="53" t="str">
        <f t="shared" si="17"/>
        <v>Z018Z</v>
      </c>
      <c r="H43" s="57" t="s">
        <v>44</v>
      </c>
      <c r="I43" s="57"/>
      <c r="J43" s="57"/>
      <c r="K43" s="57"/>
      <c r="L43" s="53">
        <v>9000</v>
      </c>
      <c r="M43" s="53">
        <v>9500</v>
      </c>
      <c r="N43" s="53">
        <f t="shared" si="18"/>
        <v>500</v>
      </c>
      <c r="O43" s="29">
        <f t="shared" si="13"/>
        <v>500</v>
      </c>
      <c r="P43" s="61" t="s">
        <v>6</v>
      </c>
      <c r="Q43" s="61"/>
      <c r="R43" s="118">
        <v>20</v>
      </c>
      <c r="S43" s="107">
        <v>40</v>
      </c>
      <c r="T43" s="55">
        <f t="shared" si="14"/>
        <v>20</v>
      </c>
      <c r="U43" s="61" t="s">
        <v>6</v>
      </c>
      <c r="V43" s="61"/>
      <c r="W43" s="118">
        <v>2</v>
      </c>
      <c r="X43" s="118">
        <v>4</v>
      </c>
      <c r="Y43" s="55">
        <f t="shared" si="15"/>
        <v>2</v>
      </c>
      <c r="Z43" s="58">
        <v>0</v>
      </c>
      <c r="AA43" s="58">
        <v>0</v>
      </c>
      <c r="AB43" s="55" t="s">
        <v>12</v>
      </c>
      <c r="AC43" s="57">
        <v>0</v>
      </c>
      <c r="AD43" s="57">
        <v>0</v>
      </c>
      <c r="AE43" s="57">
        <v>0</v>
      </c>
      <c r="AF43" s="57"/>
      <c r="AG43" s="52">
        <v>2</v>
      </c>
      <c r="AH43" s="57">
        <v>5</v>
      </c>
      <c r="AI43" s="57">
        <v>0</v>
      </c>
      <c r="AJ43" s="57">
        <v>0</v>
      </c>
      <c r="AK43" s="57">
        <v>0</v>
      </c>
      <c r="AL43" s="52">
        <v>95</v>
      </c>
      <c r="AM43" s="57">
        <v>20</v>
      </c>
      <c r="AN43" s="57">
        <v>0</v>
      </c>
      <c r="AO43" s="57">
        <v>0</v>
      </c>
      <c r="AP43" s="57">
        <v>0</v>
      </c>
      <c r="AQ43" s="57">
        <v>0</v>
      </c>
      <c r="AR43" s="57">
        <v>0</v>
      </c>
      <c r="AS43" s="57">
        <v>0</v>
      </c>
      <c r="AT43" s="57">
        <v>0</v>
      </c>
      <c r="AU43" s="57">
        <v>0</v>
      </c>
      <c r="AV43" s="57">
        <v>0</v>
      </c>
      <c r="AW43" s="57">
        <v>1</v>
      </c>
      <c r="AX43" s="57">
        <v>0</v>
      </c>
      <c r="AY43" s="57">
        <v>1</v>
      </c>
      <c r="AZ43" s="58">
        <v>8</v>
      </c>
      <c r="BA43" s="53">
        <v>1</v>
      </c>
      <c r="BB43" s="57">
        <v>0</v>
      </c>
      <c r="BC43" s="57">
        <v>0</v>
      </c>
      <c r="BD43" s="57">
        <v>0.9</v>
      </c>
      <c r="BE43" s="57">
        <f>2*BI43</f>
        <v>40</v>
      </c>
      <c r="BF43" s="57">
        <v>0</v>
      </c>
      <c r="BG43" s="57">
        <v>0</v>
      </c>
      <c r="BH43" s="58">
        <v>700</v>
      </c>
      <c r="BI43" s="52">
        <v>20</v>
      </c>
      <c r="BJ43" s="52">
        <v>5</v>
      </c>
      <c r="BK43" s="52" t="s">
        <v>9</v>
      </c>
      <c r="BL43" s="65"/>
      <c r="BM43" s="52"/>
      <c r="BN43" s="52"/>
      <c r="BO43" s="52"/>
      <c r="BP43" s="52"/>
      <c r="BQ43" s="55"/>
      <c r="BR43" s="52"/>
      <c r="BS43" s="52"/>
      <c r="BT43" s="55"/>
      <c r="BU43" s="55"/>
      <c r="BV43" s="55"/>
      <c r="BW43" s="56"/>
      <c r="BX43" s="60" t="s">
        <v>225</v>
      </c>
      <c r="BY43" s="56">
        <v>4</v>
      </c>
      <c r="BZ43" s="62" t="s">
        <v>254</v>
      </c>
    </row>
    <row r="44" spans="1:78" s="75" customFormat="1" ht="13.5" thickBot="1" x14ac:dyDescent="0.25">
      <c r="A44" s="53">
        <v>18</v>
      </c>
      <c r="B44" s="53" t="str">
        <f t="shared" si="11"/>
        <v>EMITTER_18</v>
      </c>
      <c r="C44" s="53">
        <f t="shared" si="16"/>
        <v>90</v>
      </c>
      <c r="D44" s="12">
        <f t="shared" si="12"/>
        <v>18003</v>
      </c>
      <c r="E44" s="53">
        <v>3</v>
      </c>
      <c r="F44" s="66" t="s">
        <v>264</v>
      </c>
      <c r="G44" s="53" t="str">
        <f t="shared" si="17"/>
        <v>Z018Z</v>
      </c>
      <c r="H44" s="57" t="s">
        <v>17</v>
      </c>
      <c r="I44" s="57"/>
      <c r="J44" s="57"/>
      <c r="K44" s="57"/>
      <c r="L44" s="53">
        <v>9000</v>
      </c>
      <c r="M44" s="53">
        <v>9500</v>
      </c>
      <c r="N44" s="53">
        <f t="shared" si="18"/>
        <v>500</v>
      </c>
      <c r="O44" s="29">
        <f t="shared" si="13"/>
        <v>500</v>
      </c>
      <c r="P44" s="56" t="s">
        <v>63</v>
      </c>
      <c r="Q44" s="56"/>
      <c r="R44" s="118">
        <v>3</v>
      </c>
      <c r="S44" s="108">
        <v>3.5</v>
      </c>
      <c r="T44" s="55">
        <f t="shared" si="14"/>
        <v>0.5</v>
      </c>
      <c r="U44" s="62" t="s">
        <v>31</v>
      </c>
      <c r="V44" s="56" t="s">
        <v>114</v>
      </c>
      <c r="W44" s="118">
        <v>1</v>
      </c>
      <c r="X44" s="118">
        <v>1.2</v>
      </c>
      <c r="Y44" s="55">
        <f t="shared" si="15"/>
        <v>0.19999999999999996</v>
      </c>
      <c r="Z44" s="58">
        <v>0</v>
      </c>
      <c r="AA44" s="58">
        <v>0</v>
      </c>
      <c r="AB44" s="55" t="s">
        <v>12</v>
      </c>
      <c r="AC44" s="57">
        <v>0</v>
      </c>
      <c r="AD44" s="57">
        <v>0</v>
      </c>
      <c r="AE44" s="57">
        <v>0</v>
      </c>
      <c r="AF44" s="57"/>
      <c r="AG44" s="52">
        <v>2</v>
      </c>
      <c r="AH44" s="57">
        <v>5</v>
      </c>
      <c r="AI44" s="57">
        <v>0</v>
      </c>
      <c r="AJ44" s="57">
        <v>0</v>
      </c>
      <c r="AK44" s="57">
        <v>0</v>
      </c>
      <c r="AL44" s="52">
        <v>95</v>
      </c>
      <c r="AM44" s="57">
        <v>20</v>
      </c>
      <c r="AN44" s="57">
        <v>0</v>
      </c>
      <c r="AO44" s="57">
        <v>0</v>
      </c>
      <c r="AP44" s="57">
        <v>0</v>
      </c>
      <c r="AQ44" s="57">
        <v>0</v>
      </c>
      <c r="AR44" s="57">
        <v>0</v>
      </c>
      <c r="AS44" s="57">
        <v>0</v>
      </c>
      <c r="AT44" s="57">
        <v>0</v>
      </c>
      <c r="AU44" s="57">
        <v>0</v>
      </c>
      <c r="AV44" s="57">
        <v>0</v>
      </c>
      <c r="AW44" s="57">
        <v>1</v>
      </c>
      <c r="AX44" s="57">
        <v>0</v>
      </c>
      <c r="AY44" s="57">
        <v>1</v>
      </c>
      <c r="AZ44" s="58">
        <v>8</v>
      </c>
      <c r="BA44" s="53">
        <v>1</v>
      </c>
      <c r="BB44" s="57">
        <v>0</v>
      </c>
      <c r="BC44" s="57">
        <v>0</v>
      </c>
      <c r="BD44" s="57">
        <v>0.9</v>
      </c>
      <c r="BE44" s="57">
        <f>2*BI44</f>
        <v>40</v>
      </c>
      <c r="BF44" s="57">
        <v>0</v>
      </c>
      <c r="BG44" s="57">
        <v>0</v>
      </c>
      <c r="BH44" s="58">
        <v>700</v>
      </c>
      <c r="BI44" s="52">
        <v>20</v>
      </c>
      <c r="BJ44" s="52">
        <v>5</v>
      </c>
      <c r="BK44" s="52" t="s">
        <v>9</v>
      </c>
      <c r="BL44" s="65"/>
      <c r="BM44" s="52"/>
      <c r="BN44" s="52"/>
      <c r="BO44" s="52"/>
      <c r="BP44" s="52"/>
      <c r="BQ44" s="55"/>
      <c r="BR44" s="52"/>
      <c r="BS44" s="52"/>
      <c r="BT44" s="55"/>
      <c r="BU44" s="55"/>
      <c r="BV44" s="55"/>
      <c r="BW44" s="64" t="s">
        <v>238</v>
      </c>
      <c r="BX44" s="60" t="s">
        <v>225</v>
      </c>
      <c r="BY44" s="56">
        <v>2</v>
      </c>
      <c r="BZ44" s="62" t="s">
        <v>254</v>
      </c>
    </row>
    <row r="45" spans="1:78" s="30" customFormat="1" ht="39" thickBot="1" x14ac:dyDescent="0.25">
      <c r="A45" s="29">
        <v>19</v>
      </c>
      <c r="B45" s="29" t="str">
        <f t="shared" si="11"/>
        <v>EMITTER_19</v>
      </c>
      <c r="C45" s="29">
        <f t="shared" si="16"/>
        <v>95</v>
      </c>
      <c r="D45" s="12">
        <f t="shared" si="12"/>
        <v>19001</v>
      </c>
      <c r="E45" s="29">
        <v>1</v>
      </c>
      <c r="F45" s="23" t="s">
        <v>23</v>
      </c>
      <c r="G45" s="29" t="str">
        <f t="shared" si="17"/>
        <v>Z019Z</v>
      </c>
      <c r="H45" s="23" t="s">
        <v>24</v>
      </c>
      <c r="I45" s="23"/>
      <c r="J45" s="23"/>
      <c r="K45" s="23"/>
      <c r="L45" s="29">
        <v>3700</v>
      </c>
      <c r="M45" s="29">
        <v>3750</v>
      </c>
      <c r="N45" s="29">
        <f t="shared" si="18"/>
        <v>50</v>
      </c>
      <c r="O45" s="29">
        <f t="shared" si="13"/>
        <v>50</v>
      </c>
      <c r="P45" s="15" t="s">
        <v>64</v>
      </c>
      <c r="Q45" s="15" t="s">
        <v>94</v>
      </c>
      <c r="R45" s="113">
        <v>1475</v>
      </c>
      <c r="S45" s="105">
        <v>2000</v>
      </c>
      <c r="T45" s="13">
        <f t="shared" si="14"/>
        <v>525</v>
      </c>
      <c r="U45" s="15" t="s">
        <v>11</v>
      </c>
      <c r="V45" s="15" t="s">
        <v>268</v>
      </c>
      <c r="W45" s="113">
        <v>22</v>
      </c>
      <c r="X45" s="116">
        <v>24</v>
      </c>
      <c r="Y45" s="13">
        <f t="shared" si="15"/>
        <v>2</v>
      </c>
      <c r="Z45" s="23">
        <v>12</v>
      </c>
      <c r="AA45" s="23">
        <v>12</v>
      </c>
      <c r="AB45" s="51" t="s">
        <v>316</v>
      </c>
      <c r="AC45" s="23">
        <v>0</v>
      </c>
      <c r="AD45" s="47">
        <v>360</v>
      </c>
      <c r="AE45" s="23">
        <v>0</v>
      </c>
      <c r="AF45" s="23">
        <v>0</v>
      </c>
      <c r="AG45" s="14">
        <v>3</v>
      </c>
      <c r="AH45" s="23">
        <v>5</v>
      </c>
      <c r="AI45" s="23">
        <v>0</v>
      </c>
      <c r="AJ45" s="23">
        <v>0</v>
      </c>
      <c r="AK45" s="23">
        <v>0</v>
      </c>
      <c r="AL45" s="14">
        <v>110</v>
      </c>
      <c r="AM45" s="23">
        <v>20</v>
      </c>
      <c r="AN45" s="23">
        <v>0</v>
      </c>
      <c r="AO45" s="23">
        <v>0</v>
      </c>
      <c r="AP45" s="23">
        <v>0</v>
      </c>
      <c r="AQ45" s="23">
        <v>0</v>
      </c>
      <c r="AR45" s="23">
        <v>0</v>
      </c>
      <c r="AS45" s="23">
        <v>0</v>
      </c>
      <c r="AT45" s="23">
        <v>0</v>
      </c>
      <c r="AU45" s="23">
        <v>0</v>
      </c>
      <c r="AV45" s="23">
        <v>0</v>
      </c>
      <c r="AW45" s="23">
        <v>1</v>
      </c>
      <c r="AX45" s="23">
        <v>0</v>
      </c>
      <c r="AY45" s="23">
        <v>1</v>
      </c>
      <c r="AZ45" s="23">
        <v>0</v>
      </c>
      <c r="BA45" s="29">
        <v>1</v>
      </c>
      <c r="BB45" s="23">
        <v>0</v>
      </c>
      <c r="BC45" s="23">
        <v>1</v>
      </c>
      <c r="BD45" s="13">
        <v>0.9</v>
      </c>
      <c r="BE45" s="47">
        <v>20</v>
      </c>
      <c r="BF45" s="23">
        <v>0</v>
      </c>
      <c r="BG45" s="23">
        <v>0</v>
      </c>
      <c r="BH45" s="23">
        <v>0</v>
      </c>
      <c r="BI45" s="14" t="s">
        <v>133</v>
      </c>
      <c r="BJ45" s="14">
        <v>3</v>
      </c>
      <c r="BK45" s="14" t="s">
        <v>9</v>
      </c>
      <c r="BL45" s="23"/>
      <c r="BM45" s="14">
        <v>1</v>
      </c>
      <c r="BN45" s="14"/>
      <c r="BO45" s="14"/>
      <c r="BP45" s="14"/>
      <c r="BQ45" s="13"/>
      <c r="BR45" s="14"/>
      <c r="BS45" s="14"/>
      <c r="BT45" s="13"/>
      <c r="BU45" s="13"/>
      <c r="BV45" s="13"/>
      <c r="BW45" s="15" t="s">
        <v>118</v>
      </c>
      <c r="BX45" s="43" t="s">
        <v>226</v>
      </c>
      <c r="BY45" s="15" t="str">
        <f t="shared" ref="BY45:BY53" si="19">"Approx "&amp;TEXT((2*AA45),0)&amp;" (2*SP)"</f>
        <v>Approx 24 (2*SP)</v>
      </c>
      <c r="BZ45" s="51" t="s">
        <v>254</v>
      </c>
    </row>
    <row r="46" spans="1:78" s="30" customFormat="1" ht="39" thickBot="1" x14ac:dyDescent="0.25">
      <c r="A46" s="29">
        <v>19</v>
      </c>
      <c r="B46" s="29" t="str">
        <f t="shared" si="11"/>
        <v>EMITTER_19</v>
      </c>
      <c r="C46" s="29">
        <f t="shared" si="16"/>
        <v>95</v>
      </c>
      <c r="D46" s="12">
        <f t="shared" si="12"/>
        <v>19011</v>
      </c>
      <c r="E46" s="29">
        <v>11</v>
      </c>
      <c r="F46" s="23" t="s">
        <v>23</v>
      </c>
      <c r="G46" s="29" t="str">
        <f t="shared" si="17"/>
        <v>Z019Z</v>
      </c>
      <c r="H46" s="23" t="s">
        <v>24</v>
      </c>
      <c r="I46" s="23"/>
      <c r="J46" s="23"/>
      <c r="K46" s="23"/>
      <c r="L46" s="29">
        <v>3770</v>
      </c>
      <c r="M46" s="29">
        <v>3800</v>
      </c>
      <c r="N46" s="29">
        <f t="shared" si="18"/>
        <v>30</v>
      </c>
      <c r="O46" s="29">
        <f t="shared" si="13"/>
        <v>30</v>
      </c>
      <c r="P46" s="15" t="s">
        <v>64</v>
      </c>
      <c r="Q46" s="15" t="s">
        <v>94</v>
      </c>
      <c r="R46" s="113">
        <v>1475</v>
      </c>
      <c r="S46" s="105">
        <v>2000</v>
      </c>
      <c r="T46" s="13">
        <f t="shared" si="14"/>
        <v>525</v>
      </c>
      <c r="U46" s="15" t="s">
        <v>11</v>
      </c>
      <c r="V46" s="15" t="s">
        <v>268</v>
      </c>
      <c r="W46" s="113">
        <v>22</v>
      </c>
      <c r="X46" s="116">
        <v>24</v>
      </c>
      <c r="Y46" s="13">
        <f t="shared" si="15"/>
        <v>2</v>
      </c>
      <c r="Z46" s="23">
        <v>12</v>
      </c>
      <c r="AA46" s="23">
        <v>12</v>
      </c>
      <c r="AB46" s="51" t="s">
        <v>316</v>
      </c>
      <c r="AC46" s="23">
        <v>0</v>
      </c>
      <c r="AD46" s="47">
        <v>360</v>
      </c>
      <c r="AE46" s="23">
        <v>0</v>
      </c>
      <c r="AF46" s="23">
        <v>0</v>
      </c>
      <c r="AG46" s="14">
        <v>3</v>
      </c>
      <c r="AH46" s="23">
        <v>5</v>
      </c>
      <c r="AI46" s="23">
        <v>0</v>
      </c>
      <c r="AJ46" s="23">
        <v>0</v>
      </c>
      <c r="AK46" s="23">
        <v>0</v>
      </c>
      <c r="AL46" s="14">
        <v>110</v>
      </c>
      <c r="AM46" s="23">
        <v>20</v>
      </c>
      <c r="AN46" s="23">
        <v>0</v>
      </c>
      <c r="AO46" s="23">
        <v>0</v>
      </c>
      <c r="AP46" s="23">
        <v>0</v>
      </c>
      <c r="AQ46" s="23">
        <v>0</v>
      </c>
      <c r="AR46" s="23">
        <v>0</v>
      </c>
      <c r="AS46" s="23">
        <v>0</v>
      </c>
      <c r="AT46" s="23">
        <v>0</v>
      </c>
      <c r="AU46" s="23">
        <v>0</v>
      </c>
      <c r="AV46" s="23">
        <v>0</v>
      </c>
      <c r="AW46" s="23">
        <v>1</v>
      </c>
      <c r="AX46" s="23">
        <v>0</v>
      </c>
      <c r="AY46" s="23">
        <v>1</v>
      </c>
      <c r="AZ46" s="23">
        <v>0</v>
      </c>
      <c r="BA46" s="29">
        <v>1</v>
      </c>
      <c r="BB46" s="23">
        <v>0</v>
      </c>
      <c r="BC46" s="23">
        <v>1</v>
      </c>
      <c r="BD46" s="23">
        <v>0.9</v>
      </c>
      <c r="BE46" s="47">
        <v>20</v>
      </c>
      <c r="BF46" s="23">
        <v>0</v>
      </c>
      <c r="BG46" s="23">
        <v>0</v>
      </c>
      <c r="BH46" s="23">
        <v>0</v>
      </c>
      <c r="BI46" s="14" t="s">
        <v>133</v>
      </c>
      <c r="BJ46" s="14">
        <v>3</v>
      </c>
      <c r="BK46" s="14" t="s">
        <v>9</v>
      </c>
      <c r="BL46" s="23"/>
      <c r="BM46" s="14"/>
      <c r="BN46" s="14"/>
      <c r="BO46" s="14">
        <v>1</v>
      </c>
      <c r="BP46" s="14"/>
      <c r="BQ46" s="13"/>
      <c r="BR46" s="14">
        <v>1</v>
      </c>
      <c r="BS46" s="14"/>
      <c r="BT46" s="13"/>
      <c r="BU46" s="13"/>
      <c r="BV46" s="13"/>
      <c r="BW46" s="15" t="s">
        <v>118</v>
      </c>
      <c r="BX46" s="43" t="s">
        <v>226</v>
      </c>
      <c r="BY46" s="15" t="str">
        <f t="shared" si="19"/>
        <v>Approx 24 (2*SP)</v>
      </c>
      <c r="BZ46" s="51" t="s">
        <v>254</v>
      </c>
    </row>
    <row r="47" spans="1:78" s="75" customFormat="1" ht="39" thickBot="1" x14ac:dyDescent="0.25">
      <c r="A47" s="53">
        <v>20</v>
      </c>
      <c r="B47" s="53" t="str">
        <f t="shared" si="11"/>
        <v>EMITTER_20</v>
      </c>
      <c r="C47" s="53">
        <f t="shared" si="16"/>
        <v>100</v>
      </c>
      <c r="D47" s="12">
        <f t="shared" si="12"/>
        <v>20001</v>
      </c>
      <c r="E47" s="53">
        <v>1</v>
      </c>
      <c r="F47" s="57" t="s">
        <v>62</v>
      </c>
      <c r="G47" s="53" t="str">
        <f t="shared" si="17"/>
        <v>Z020Z</v>
      </c>
      <c r="H47" s="57" t="s">
        <v>24</v>
      </c>
      <c r="I47" s="57"/>
      <c r="J47" s="57"/>
      <c r="K47" s="57"/>
      <c r="L47" s="76">
        <v>2111</v>
      </c>
      <c r="M47" s="76">
        <v>2278</v>
      </c>
      <c r="N47" s="53">
        <f t="shared" si="18"/>
        <v>167</v>
      </c>
      <c r="O47" s="29">
        <f t="shared" si="13"/>
        <v>167</v>
      </c>
      <c r="P47" s="62" t="s">
        <v>31</v>
      </c>
      <c r="Q47" s="61" t="s">
        <v>99</v>
      </c>
      <c r="R47" s="118">
        <v>1500</v>
      </c>
      <c r="S47" s="107">
        <v>1550</v>
      </c>
      <c r="T47" s="55">
        <f t="shared" si="14"/>
        <v>50</v>
      </c>
      <c r="U47" s="61" t="s">
        <v>6</v>
      </c>
      <c r="V47" s="61"/>
      <c r="W47" s="118">
        <v>5</v>
      </c>
      <c r="X47" s="118">
        <v>5.0999999999999996</v>
      </c>
      <c r="Y47" s="55">
        <f t="shared" si="15"/>
        <v>9.9999999999999645E-2</v>
      </c>
      <c r="Z47" s="58">
        <v>8.43</v>
      </c>
      <c r="AA47" s="58">
        <v>8.7200000000000006</v>
      </c>
      <c r="AB47" s="62" t="s">
        <v>325</v>
      </c>
      <c r="AC47" s="57">
        <v>0</v>
      </c>
      <c r="AD47" s="57">
        <v>90</v>
      </c>
      <c r="AE47" s="57">
        <v>0</v>
      </c>
      <c r="AF47" s="58">
        <v>193.75</v>
      </c>
      <c r="AG47" s="52">
        <v>2</v>
      </c>
      <c r="AH47" s="57">
        <v>4</v>
      </c>
      <c r="AI47" s="57">
        <v>2</v>
      </c>
      <c r="AJ47" s="57">
        <v>45</v>
      </c>
      <c r="AK47" s="57" t="s">
        <v>211</v>
      </c>
      <c r="AL47" s="52">
        <v>110</v>
      </c>
      <c r="AM47" s="57">
        <v>20</v>
      </c>
      <c r="AN47" s="57">
        <v>0</v>
      </c>
      <c r="AO47" s="57">
        <v>0</v>
      </c>
      <c r="AP47" s="57">
        <v>0</v>
      </c>
      <c r="AQ47" s="57">
        <v>0</v>
      </c>
      <c r="AR47" s="58">
        <v>1</v>
      </c>
      <c r="AS47" s="58">
        <v>0</v>
      </c>
      <c r="AT47" s="57">
        <v>0</v>
      </c>
      <c r="AU47" s="57">
        <v>0</v>
      </c>
      <c r="AV47" s="57">
        <v>0</v>
      </c>
      <c r="AW47" s="55">
        <v>1</v>
      </c>
      <c r="AX47" s="57">
        <v>0</v>
      </c>
      <c r="AY47" s="58">
        <v>0</v>
      </c>
      <c r="AZ47" s="58">
        <v>4</v>
      </c>
      <c r="BA47" s="53">
        <v>1</v>
      </c>
      <c r="BB47" s="57">
        <v>0</v>
      </c>
      <c r="BC47" s="57">
        <v>1</v>
      </c>
      <c r="BD47" s="57">
        <v>0.8</v>
      </c>
      <c r="BE47" s="58">
        <v>20</v>
      </c>
      <c r="BF47" s="57">
        <v>0</v>
      </c>
      <c r="BG47" s="57">
        <v>0</v>
      </c>
      <c r="BH47" s="57">
        <v>0</v>
      </c>
      <c r="BI47" s="52" t="s">
        <v>133</v>
      </c>
      <c r="BJ47" s="52">
        <v>3</v>
      </c>
      <c r="BK47" s="52" t="s">
        <v>9</v>
      </c>
      <c r="BL47" s="65"/>
      <c r="BM47" s="52"/>
      <c r="BN47" s="52"/>
      <c r="BO47" s="52"/>
      <c r="BP47" s="52"/>
      <c r="BQ47" s="55"/>
      <c r="BR47" s="52"/>
      <c r="BS47" s="52"/>
      <c r="BT47" s="55"/>
      <c r="BU47" s="55"/>
      <c r="BV47" s="55"/>
      <c r="BW47" s="56"/>
      <c r="BX47" s="60" t="s">
        <v>226</v>
      </c>
      <c r="BY47" s="56" t="str">
        <f t="shared" si="19"/>
        <v>Approx 17 (2*SP)</v>
      </c>
      <c r="BZ47" s="62" t="s">
        <v>254</v>
      </c>
    </row>
    <row r="48" spans="1:78" s="85" customFormat="1" ht="26.25" thickBot="1" x14ac:dyDescent="0.25">
      <c r="A48" s="14">
        <v>21</v>
      </c>
      <c r="B48" s="29" t="str">
        <f t="shared" si="11"/>
        <v>EMITTER_21</v>
      </c>
      <c r="C48" s="29">
        <f t="shared" si="16"/>
        <v>105</v>
      </c>
      <c r="D48" s="12">
        <f t="shared" si="12"/>
        <v>21001</v>
      </c>
      <c r="E48" s="12">
        <v>1</v>
      </c>
      <c r="F48" s="13" t="s">
        <v>76</v>
      </c>
      <c r="G48" s="29" t="str">
        <f t="shared" si="17"/>
        <v>Z021Z</v>
      </c>
      <c r="H48" s="23" t="s">
        <v>68</v>
      </c>
      <c r="I48" s="23"/>
      <c r="J48" s="23"/>
      <c r="K48" s="23"/>
      <c r="L48" s="14">
        <v>6000</v>
      </c>
      <c r="M48" s="14">
        <v>6200</v>
      </c>
      <c r="N48" s="29">
        <f t="shared" si="18"/>
        <v>200</v>
      </c>
      <c r="O48" s="29">
        <f t="shared" si="13"/>
        <v>200</v>
      </c>
      <c r="P48" s="15" t="s">
        <v>6</v>
      </c>
      <c r="Q48" s="15"/>
      <c r="R48" s="113">
        <v>900</v>
      </c>
      <c r="S48" s="101">
        <v>955</v>
      </c>
      <c r="T48" s="13">
        <f t="shared" si="14"/>
        <v>55</v>
      </c>
      <c r="U48" s="15" t="s">
        <v>6</v>
      </c>
      <c r="V48" s="15"/>
      <c r="W48" s="113">
        <v>1</v>
      </c>
      <c r="X48" s="113">
        <v>1.1000000000000001</v>
      </c>
      <c r="Y48" s="13">
        <f t="shared" si="15"/>
        <v>0.10000000000000009</v>
      </c>
      <c r="Z48" s="13">
        <v>1</v>
      </c>
      <c r="AA48" s="13">
        <v>1</v>
      </c>
      <c r="AB48" s="49" t="s">
        <v>316</v>
      </c>
      <c r="AC48" s="23">
        <v>0</v>
      </c>
      <c r="AD48" s="47">
        <v>15</v>
      </c>
      <c r="AE48" s="23">
        <v>0</v>
      </c>
      <c r="AF48" s="23">
        <v>0</v>
      </c>
      <c r="AG48" s="14">
        <v>2</v>
      </c>
      <c r="AH48" s="23">
        <v>6</v>
      </c>
      <c r="AI48" s="23">
        <v>0</v>
      </c>
      <c r="AJ48" s="23">
        <v>0</v>
      </c>
      <c r="AK48" s="13"/>
      <c r="AL48" s="14">
        <v>120</v>
      </c>
      <c r="AM48" s="23">
        <v>15</v>
      </c>
      <c r="AN48" s="23">
        <v>0</v>
      </c>
      <c r="AO48" s="23">
        <v>0</v>
      </c>
      <c r="AP48" s="23">
        <v>0</v>
      </c>
      <c r="AQ48" s="23">
        <v>0</v>
      </c>
      <c r="AR48" s="23">
        <v>0</v>
      </c>
      <c r="AS48" s="23">
        <v>0</v>
      </c>
      <c r="AT48" s="23">
        <v>0</v>
      </c>
      <c r="AU48" s="23">
        <v>0</v>
      </c>
      <c r="AV48" s="23">
        <v>0</v>
      </c>
      <c r="AW48" s="23">
        <v>2</v>
      </c>
      <c r="AX48" s="23">
        <v>0</v>
      </c>
      <c r="AY48" s="23">
        <v>1</v>
      </c>
      <c r="AZ48" s="23">
        <v>0</v>
      </c>
      <c r="BA48" s="29">
        <v>1</v>
      </c>
      <c r="BB48" s="23">
        <v>0</v>
      </c>
      <c r="BC48" s="23">
        <v>1</v>
      </c>
      <c r="BD48" s="23">
        <v>0.9</v>
      </c>
      <c r="BE48" s="23">
        <f>2*BI48</f>
        <v>16</v>
      </c>
      <c r="BF48" s="23">
        <v>0</v>
      </c>
      <c r="BG48" s="23">
        <v>0</v>
      </c>
      <c r="BH48" s="23">
        <v>0</v>
      </c>
      <c r="BI48" s="14">
        <v>8</v>
      </c>
      <c r="BJ48" s="14">
        <v>5</v>
      </c>
      <c r="BK48" s="14" t="s">
        <v>9</v>
      </c>
      <c r="BL48" s="23"/>
      <c r="BM48" s="14"/>
      <c r="BN48" s="14"/>
      <c r="BO48" s="14">
        <v>1</v>
      </c>
      <c r="BP48" s="14"/>
      <c r="BQ48" s="13"/>
      <c r="BR48" s="14">
        <v>1</v>
      </c>
      <c r="BS48" s="14"/>
      <c r="BT48" s="13"/>
      <c r="BU48" s="23"/>
      <c r="BV48" s="23"/>
      <c r="BW48" s="15"/>
      <c r="BX48" s="43" t="s">
        <v>225</v>
      </c>
      <c r="BY48" s="15" t="str">
        <f t="shared" si="19"/>
        <v>Approx 2 (2*SP)</v>
      </c>
      <c r="BZ48" s="51" t="s">
        <v>254</v>
      </c>
    </row>
    <row r="49" spans="1:78" s="85" customFormat="1" ht="26.25" thickBot="1" x14ac:dyDescent="0.25">
      <c r="A49" s="14">
        <v>21</v>
      </c>
      <c r="B49" s="29" t="str">
        <f t="shared" si="11"/>
        <v>EMITTER_21</v>
      </c>
      <c r="C49" s="29">
        <f t="shared" si="16"/>
        <v>105</v>
      </c>
      <c r="D49" s="12">
        <f t="shared" si="12"/>
        <v>21002</v>
      </c>
      <c r="E49" s="12">
        <v>2</v>
      </c>
      <c r="F49" s="13" t="s">
        <v>76</v>
      </c>
      <c r="G49" s="29" t="str">
        <f t="shared" si="17"/>
        <v>Z021Z</v>
      </c>
      <c r="H49" s="23" t="s">
        <v>68</v>
      </c>
      <c r="I49" s="23"/>
      <c r="J49" s="23"/>
      <c r="K49" s="23"/>
      <c r="L49" s="14">
        <v>6000</v>
      </c>
      <c r="M49" s="14">
        <v>6200</v>
      </c>
      <c r="N49" s="29">
        <f t="shared" si="18"/>
        <v>200</v>
      </c>
      <c r="O49" s="29">
        <f t="shared" si="13"/>
        <v>200</v>
      </c>
      <c r="P49" s="15" t="s">
        <v>6</v>
      </c>
      <c r="Q49" s="15"/>
      <c r="R49" s="113">
        <v>240</v>
      </c>
      <c r="S49" s="101">
        <v>269</v>
      </c>
      <c r="T49" s="13">
        <f t="shared" si="14"/>
        <v>29</v>
      </c>
      <c r="U49" s="15" t="s">
        <v>11</v>
      </c>
      <c r="V49" s="15" t="s">
        <v>119</v>
      </c>
      <c r="W49" s="113">
        <v>1</v>
      </c>
      <c r="X49" s="113">
        <v>2</v>
      </c>
      <c r="Y49" s="13">
        <f t="shared" si="15"/>
        <v>1</v>
      </c>
      <c r="Z49" s="13">
        <v>1</v>
      </c>
      <c r="AA49" s="13">
        <v>1</v>
      </c>
      <c r="AB49" s="49" t="s">
        <v>316</v>
      </c>
      <c r="AC49" s="23">
        <v>0</v>
      </c>
      <c r="AD49" s="47">
        <v>15</v>
      </c>
      <c r="AE49" s="23">
        <v>0</v>
      </c>
      <c r="AF49" s="23">
        <v>0</v>
      </c>
      <c r="AG49" s="14">
        <v>2</v>
      </c>
      <c r="AH49" s="23">
        <v>6</v>
      </c>
      <c r="AI49" s="23">
        <v>0</v>
      </c>
      <c r="AJ49" s="23">
        <v>0</v>
      </c>
      <c r="AK49" s="23">
        <v>0</v>
      </c>
      <c r="AL49" s="14">
        <v>120</v>
      </c>
      <c r="AM49" s="23">
        <v>15</v>
      </c>
      <c r="AN49" s="23">
        <v>0</v>
      </c>
      <c r="AO49" s="23">
        <v>0</v>
      </c>
      <c r="AP49" s="23">
        <v>0</v>
      </c>
      <c r="AQ49" s="23">
        <v>0</v>
      </c>
      <c r="AR49" s="23">
        <v>0</v>
      </c>
      <c r="AS49" s="23">
        <v>0</v>
      </c>
      <c r="AT49" s="23">
        <v>0</v>
      </c>
      <c r="AU49" s="23">
        <v>0</v>
      </c>
      <c r="AV49" s="23">
        <v>0</v>
      </c>
      <c r="AW49" s="23">
        <v>2</v>
      </c>
      <c r="AX49" s="23">
        <v>0</v>
      </c>
      <c r="AY49" s="23">
        <v>1</v>
      </c>
      <c r="AZ49" s="23">
        <v>0</v>
      </c>
      <c r="BA49" s="29">
        <v>1</v>
      </c>
      <c r="BB49" s="23">
        <v>0</v>
      </c>
      <c r="BC49" s="23">
        <v>1</v>
      </c>
      <c r="BD49" s="23">
        <v>0.9</v>
      </c>
      <c r="BE49" s="23">
        <f>2*BI49</f>
        <v>16</v>
      </c>
      <c r="BF49" s="23">
        <v>0</v>
      </c>
      <c r="BG49" s="23">
        <v>0</v>
      </c>
      <c r="BH49" s="23">
        <v>0</v>
      </c>
      <c r="BI49" s="14">
        <v>8</v>
      </c>
      <c r="BJ49" s="14">
        <v>5</v>
      </c>
      <c r="BK49" s="14" t="s">
        <v>9</v>
      </c>
      <c r="BL49" s="23"/>
      <c r="BM49" s="14">
        <v>1</v>
      </c>
      <c r="BN49" s="14"/>
      <c r="BO49" s="14"/>
      <c r="BP49" s="14"/>
      <c r="BQ49" s="13"/>
      <c r="BR49" s="14"/>
      <c r="BS49" s="14"/>
      <c r="BT49" s="13"/>
      <c r="BU49" s="13"/>
      <c r="BV49" s="13"/>
      <c r="BW49" s="15"/>
      <c r="BX49" s="43" t="s">
        <v>225</v>
      </c>
      <c r="BY49" s="15" t="str">
        <f t="shared" si="19"/>
        <v>Approx 2 (2*SP)</v>
      </c>
      <c r="BZ49" s="51" t="s">
        <v>254</v>
      </c>
    </row>
    <row r="50" spans="1:78" s="73" customFormat="1" ht="26.25" thickBot="1" x14ac:dyDescent="0.25">
      <c r="A50" s="52">
        <v>22</v>
      </c>
      <c r="B50" s="53" t="str">
        <f t="shared" si="11"/>
        <v>EMITTER_22</v>
      </c>
      <c r="C50" s="53">
        <f t="shared" si="16"/>
        <v>110</v>
      </c>
      <c r="D50" s="12">
        <f t="shared" si="12"/>
        <v>22001</v>
      </c>
      <c r="E50" s="54">
        <v>1</v>
      </c>
      <c r="F50" s="55" t="s">
        <v>79</v>
      </c>
      <c r="G50" s="53" t="str">
        <f t="shared" si="17"/>
        <v>Z022Z</v>
      </c>
      <c r="H50" s="55" t="s">
        <v>24</v>
      </c>
      <c r="I50" s="55"/>
      <c r="J50" s="55"/>
      <c r="K50" s="55"/>
      <c r="L50" s="52">
        <v>5000</v>
      </c>
      <c r="M50" s="52">
        <v>5100</v>
      </c>
      <c r="N50" s="53">
        <f t="shared" si="18"/>
        <v>100</v>
      </c>
      <c r="O50" s="29">
        <f t="shared" si="13"/>
        <v>100</v>
      </c>
      <c r="P50" s="62" t="s">
        <v>329</v>
      </c>
      <c r="Q50" s="56" t="s">
        <v>212</v>
      </c>
      <c r="R50" s="114">
        <v>1200</v>
      </c>
      <c r="S50" s="102">
        <v>1250</v>
      </c>
      <c r="T50" s="55">
        <f t="shared" si="14"/>
        <v>50</v>
      </c>
      <c r="U50" s="56" t="s">
        <v>11</v>
      </c>
      <c r="V50" s="56" t="s">
        <v>258</v>
      </c>
      <c r="W50" s="114">
        <v>40</v>
      </c>
      <c r="X50" s="114">
        <v>42</v>
      </c>
      <c r="Y50" s="55">
        <f t="shared" si="15"/>
        <v>2</v>
      </c>
      <c r="Z50" s="55">
        <v>5</v>
      </c>
      <c r="AA50" s="55">
        <v>5</v>
      </c>
      <c r="AB50" s="49" t="s">
        <v>316</v>
      </c>
      <c r="AC50" s="57">
        <v>0</v>
      </c>
      <c r="AD50" s="58">
        <v>360</v>
      </c>
      <c r="AE50" s="57">
        <v>0</v>
      </c>
      <c r="AF50" s="57">
        <v>0</v>
      </c>
      <c r="AG50" s="52">
        <v>3</v>
      </c>
      <c r="AH50" s="57">
        <v>10</v>
      </c>
      <c r="AI50" s="57">
        <v>0</v>
      </c>
      <c r="AJ50" s="57">
        <v>0</v>
      </c>
      <c r="AK50" s="57">
        <v>15</v>
      </c>
      <c r="AL50" s="52">
        <v>110</v>
      </c>
      <c r="AM50" s="57">
        <v>20</v>
      </c>
      <c r="AN50" s="57">
        <v>0</v>
      </c>
      <c r="AO50" s="57">
        <v>0</v>
      </c>
      <c r="AP50" s="57">
        <v>0</v>
      </c>
      <c r="AQ50" s="57">
        <v>0</v>
      </c>
      <c r="AR50" s="57">
        <v>0</v>
      </c>
      <c r="AS50" s="57">
        <v>0</v>
      </c>
      <c r="AT50" s="57">
        <v>0</v>
      </c>
      <c r="AU50" s="57">
        <v>0</v>
      </c>
      <c r="AV50" s="57">
        <v>0</v>
      </c>
      <c r="AW50" s="57">
        <v>1</v>
      </c>
      <c r="AX50" s="57">
        <v>0</v>
      </c>
      <c r="AY50" s="57">
        <v>1</v>
      </c>
      <c r="AZ50" s="57">
        <v>0</v>
      </c>
      <c r="BA50" s="53">
        <v>1</v>
      </c>
      <c r="BB50" s="57">
        <v>0</v>
      </c>
      <c r="BC50" s="57">
        <v>0</v>
      </c>
      <c r="BD50" s="58">
        <v>0.8</v>
      </c>
      <c r="BE50" s="58">
        <v>20</v>
      </c>
      <c r="BF50" s="57">
        <v>0</v>
      </c>
      <c r="BG50" s="57">
        <v>0</v>
      </c>
      <c r="BH50" s="57">
        <v>0</v>
      </c>
      <c r="BI50" s="52" t="s">
        <v>133</v>
      </c>
      <c r="BJ50" s="52">
        <v>10</v>
      </c>
      <c r="BK50" s="52" t="s">
        <v>9</v>
      </c>
      <c r="BL50" s="65"/>
      <c r="BM50" s="52">
        <v>1</v>
      </c>
      <c r="BN50" s="52"/>
      <c r="BO50" s="52"/>
      <c r="BP50" s="52"/>
      <c r="BQ50" s="55"/>
      <c r="BR50" s="52"/>
      <c r="BS50" s="52"/>
      <c r="BT50" s="55"/>
      <c r="BU50" s="55"/>
      <c r="BV50" s="55"/>
      <c r="BW50" s="56"/>
      <c r="BX50" s="60" t="s">
        <v>226</v>
      </c>
      <c r="BY50" s="56" t="str">
        <f t="shared" si="19"/>
        <v>Approx 10 (2*SP)</v>
      </c>
      <c r="BZ50" s="62" t="s">
        <v>254</v>
      </c>
    </row>
    <row r="51" spans="1:78" s="73" customFormat="1" ht="26.25" thickBot="1" x14ac:dyDescent="0.25">
      <c r="A51" s="52">
        <v>22</v>
      </c>
      <c r="B51" s="53" t="str">
        <f t="shared" si="11"/>
        <v>EMITTER_22</v>
      </c>
      <c r="C51" s="53">
        <f t="shared" si="16"/>
        <v>110</v>
      </c>
      <c r="D51" s="12">
        <f t="shared" si="12"/>
        <v>22002</v>
      </c>
      <c r="E51" s="54">
        <v>2</v>
      </c>
      <c r="F51" s="55" t="s">
        <v>79</v>
      </c>
      <c r="G51" s="53" t="str">
        <f t="shared" si="17"/>
        <v>Z022Z</v>
      </c>
      <c r="H51" s="55" t="s">
        <v>24</v>
      </c>
      <c r="I51" s="55"/>
      <c r="J51" s="55"/>
      <c r="K51" s="55"/>
      <c r="L51" s="52">
        <v>5000</v>
      </c>
      <c r="M51" s="52">
        <v>5100</v>
      </c>
      <c r="N51" s="53">
        <f t="shared" si="18"/>
        <v>100</v>
      </c>
      <c r="O51" s="29">
        <f t="shared" si="13"/>
        <v>100</v>
      </c>
      <c r="P51" s="62" t="s">
        <v>329</v>
      </c>
      <c r="Q51" s="56" t="s">
        <v>204</v>
      </c>
      <c r="R51" s="114">
        <v>600</v>
      </c>
      <c r="S51" s="102">
        <v>625</v>
      </c>
      <c r="T51" s="55">
        <f t="shared" si="14"/>
        <v>25</v>
      </c>
      <c r="U51" s="56" t="s">
        <v>11</v>
      </c>
      <c r="V51" s="56" t="s">
        <v>259</v>
      </c>
      <c r="W51" s="114">
        <v>20</v>
      </c>
      <c r="X51" s="114">
        <v>20</v>
      </c>
      <c r="Y51" s="55">
        <f t="shared" si="15"/>
        <v>0</v>
      </c>
      <c r="Z51" s="55">
        <v>5</v>
      </c>
      <c r="AA51" s="55">
        <v>5</v>
      </c>
      <c r="AB51" s="49" t="s">
        <v>316</v>
      </c>
      <c r="AC51" s="57">
        <v>0</v>
      </c>
      <c r="AD51" s="58">
        <v>360</v>
      </c>
      <c r="AE51" s="57">
        <v>0</v>
      </c>
      <c r="AF51" s="57">
        <v>0</v>
      </c>
      <c r="AG51" s="52">
        <v>3</v>
      </c>
      <c r="AH51" s="57">
        <v>10</v>
      </c>
      <c r="AI51" s="57">
        <v>0</v>
      </c>
      <c r="AJ51" s="57">
        <v>0</v>
      </c>
      <c r="AK51" s="57">
        <v>10</v>
      </c>
      <c r="AL51" s="52">
        <v>110</v>
      </c>
      <c r="AM51" s="57">
        <v>20</v>
      </c>
      <c r="AN51" s="57">
        <v>0</v>
      </c>
      <c r="AO51" s="57">
        <v>0</v>
      </c>
      <c r="AP51" s="57">
        <v>0</v>
      </c>
      <c r="AQ51" s="57">
        <v>0</v>
      </c>
      <c r="AR51" s="57">
        <v>0</v>
      </c>
      <c r="AS51" s="57">
        <v>0</v>
      </c>
      <c r="AT51" s="57">
        <v>0</v>
      </c>
      <c r="AU51" s="57">
        <v>0</v>
      </c>
      <c r="AV51" s="57">
        <v>0</v>
      </c>
      <c r="AW51" s="57">
        <v>1</v>
      </c>
      <c r="AX51" s="57">
        <v>0</v>
      </c>
      <c r="AY51" s="57">
        <v>1</v>
      </c>
      <c r="AZ51" s="57">
        <v>0</v>
      </c>
      <c r="BA51" s="53">
        <v>1</v>
      </c>
      <c r="BB51" s="57">
        <v>0</v>
      </c>
      <c r="BC51" s="57">
        <v>0</v>
      </c>
      <c r="BD51" s="58">
        <v>0.8</v>
      </c>
      <c r="BE51" s="58">
        <v>20</v>
      </c>
      <c r="BF51" s="57">
        <v>0</v>
      </c>
      <c r="BG51" s="57">
        <v>0</v>
      </c>
      <c r="BH51" s="57">
        <v>0</v>
      </c>
      <c r="BI51" s="52" t="s">
        <v>133</v>
      </c>
      <c r="BJ51" s="52">
        <v>10</v>
      </c>
      <c r="BK51" s="52" t="s">
        <v>9</v>
      </c>
      <c r="BL51" s="65"/>
      <c r="BM51" s="52">
        <v>1</v>
      </c>
      <c r="BN51" s="52"/>
      <c r="BO51" s="52"/>
      <c r="BP51" s="52"/>
      <c r="BQ51" s="55"/>
      <c r="BR51" s="52"/>
      <c r="BS51" s="52"/>
      <c r="BT51" s="55"/>
      <c r="BU51" s="55"/>
      <c r="BV51" s="55"/>
      <c r="BW51" s="56"/>
      <c r="BX51" s="60" t="s">
        <v>226</v>
      </c>
      <c r="BY51" s="56" t="str">
        <f t="shared" si="19"/>
        <v>Approx 10 (2*SP)</v>
      </c>
      <c r="BZ51" s="62" t="s">
        <v>254</v>
      </c>
    </row>
    <row r="52" spans="1:78" s="75" customFormat="1" ht="26.25" thickBot="1" x14ac:dyDescent="0.25">
      <c r="A52" s="52">
        <v>22</v>
      </c>
      <c r="B52" s="53" t="str">
        <f t="shared" si="11"/>
        <v>EMITTER_22</v>
      </c>
      <c r="C52" s="53">
        <f t="shared" si="16"/>
        <v>110</v>
      </c>
      <c r="D52" s="12">
        <f t="shared" si="12"/>
        <v>22003</v>
      </c>
      <c r="E52" s="54">
        <v>3</v>
      </c>
      <c r="F52" s="55" t="s">
        <v>79</v>
      </c>
      <c r="G52" s="53" t="str">
        <f t="shared" si="17"/>
        <v>Z022Z</v>
      </c>
      <c r="H52" s="55" t="s">
        <v>24</v>
      </c>
      <c r="I52" s="55"/>
      <c r="J52" s="55"/>
      <c r="K52" s="55"/>
      <c r="L52" s="52">
        <v>5000</v>
      </c>
      <c r="M52" s="52">
        <v>5100</v>
      </c>
      <c r="N52" s="53">
        <f t="shared" si="18"/>
        <v>100</v>
      </c>
      <c r="O52" s="29">
        <f t="shared" si="13"/>
        <v>100</v>
      </c>
      <c r="P52" s="62" t="s">
        <v>329</v>
      </c>
      <c r="Q52" s="56" t="s">
        <v>205</v>
      </c>
      <c r="R52" s="114">
        <v>400</v>
      </c>
      <c r="S52" s="102">
        <v>415</v>
      </c>
      <c r="T52" s="55">
        <f t="shared" si="14"/>
        <v>15</v>
      </c>
      <c r="U52" s="56" t="s">
        <v>11</v>
      </c>
      <c r="V52" s="56" t="s">
        <v>260</v>
      </c>
      <c r="W52" s="114">
        <v>10</v>
      </c>
      <c r="X52" s="114">
        <v>22</v>
      </c>
      <c r="Y52" s="55">
        <f t="shared" si="15"/>
        <v>12</v>
      </c>
      <c r="Z52" s="55">
        <v>5</v>
      </c>
      <c r="AA52" s="55">
        <v>5</v>
      </c>
      <c r="AB52" s="49" t="s">
        <v>316</v>
      </c>
      <c r="AC52" s="57">
        <v>0</v>
      </c>
      <c r="AD52" s="58">
        <v>360</v>
      </c>
      <c r="AE52" s="57">
        <v>0</v>
      </c>
      <c r="AF52" s="57">
        <v>0</v>
      </c>
      <c r="AG52" s="52">
        <v>3</v>
      </c>
      <c r="AH52" s="57">
        <v>10</v>
      </c>
      <c r="AI52" s="57">
        <v>0</v>
      </c>
      <c r="AJ52" s="57">
        <v>0</v>
      </c>
      <c r="AK52" s="57">
        <v>20</v>
      </c>
      <c r="AL52" s="52">
        <v>110</v>
      </c>
      <c r="AM52" s="57">
        <v>20</v>
      </c>
      <c r="AN52" s="57">
        <v>0</v>
      </c>
      <c r="AO52" s="57">
        <v>0</v>
      </c>
      <c r="AP52" s="57">
        <v>0</v>
      </c>
      <c r="AQ52" s="57">
        <v>0</v>
      </c>
      <c r="AR52" s="57">
        <v>0</v>
      </c>
      <c r="AS52" s="57">
        <v>0</v>
      </c>
      <c r="AT52" s="57">
        <v>0</v>
      </c>
      <c r="AU52" s="57">
        <v>0</v>
      </c>
      <c r="AV52" s="57">
        <v>0</v>
      </c>
      <c r="AW52" s="57">
        <v>1</v>
      </c>
      <c r="AX52" s="57">
        <v>0</v>
      </c>
      <c r="AY52" s="57">
        <v>1</v>
      </c>
      <c r="AZ52" s="57">
        <v>0</v>
      </c>
      <c r="BA52" s="53">
        <v>1</v>
      </c>
      <c r="BB52" s="57">
        <v>0</v>
      </c>
      <c r="BC52" s="57">
        <v>0</v>
      </c>
      <c r="BD52" s="58">
        <v>0.8</v>
      </c>
      <c r="BE52" s="58">
        <v>20</v>
      </c>
      <c r="BF52" s="57">
        <v>0</v>
      </c>
      <c r="BG52" s="57">
        <v>0</v>
      </c>
      <c r="BH52" s="57">
        <v>0</v>
      </c>
      <c r="BI52" s="52" t="s">
        <v>133</v>
      </c>
      <c r="BJ52" s="52">
        <v>10</v>
      </c>
      <c r="BK52" s="52" t="s">
        <v>9</v>
      </c>
      <c r="BL52" s="65"/>
      <c r="BM52" s="52">
        <v>1</v>
      </c>
      <c r="BN52" s="52"/>
      <c r="BO52" s="52"/>
      <c r="BP52" s="52"/>
      <c r="BQ52" s="55"/>
      <c r="BR52" s="52"/>
      <c r="BS52" s="52"/>
      <c r="BT52" s="55"/>
      <c r="BU52" s="55"/>
      <c r="BV52" s="55"/>
      <c r="BW52" s="56"/>
      <c r="BX52" s="60" t="s">
        <v>226</v>
      </c>
      <c r="BY52" s="56" t="str">
        <f t="shared" si="19"/>
        <v>Approx 10 (2*SP)</v>
      </c>
      <c r="BZ52" s="62" t="s">
        <v>254</v>
      </c>
    </row>
    <row r="53" spans="1:78" s="30" customFormat="1" ht="26.25" thickBot="1" x14ac:dyDescent="0.25">
      <c r="A53" s="29">
        <v>23</v>
      </c>
      <c r="B53" s="29" t="str">
        <f t="shared" si="11"/>
        <v>EMITTER_23</v>
      </c>
      <c r="C53" s="29">
        <f t="shared" si="16"/>
        <v>115</v>
      </c>
      <c r="D53" s="12">
        <f t="shared" si="12"/>
        <v>23001</v>
      </c>
      <c r="E53" s="29">
        <v>1</v>
      </c>
      <c r="F53" s="23" t="s">
        <v>102</v>
      </c>
      <c r="G53" s="29" t="str">
        <f t="shared" si="17"/>
        <v>Z023Z</v>
      </c>
      <c r="H53" s="23" t="s">
        <v>5</v>
      </c>
      <c r="I53" s="23"/>
      <c r="J53" s="23"/>
      <c r="K53" s="23"/>
      <c r="L53" s="29">
        <v>8000</v>
      </c>
      <c r="M53" s="29">
        <v>8200</v>
      </c>
      <c r="N53" s="29">
        <f t="shared" si="18"/>
        <v>200</v>
      </c>
      <c r="O53" s="29">
        <f t="shared" si="13"/>
        <v>200</v>
      </c>
      <c r="P53" s="50" t="s">
        <v>6</v>
      </c>
      <c r="Q53" s="50"/>
      <c r="R53" s="115">
        <v>599</v>
      </c>
      <c r="S53" s="104">
        <v>777</v>
      </c>
      <c r="T53" s="13">
        <f t="shared" si="14"/>
        <v>178</v>
      </c>
      <c r="U53" s="50" t="s">
        <v>6</v>
      </c>
      <c r="V53" s="50"/>
      <c r="W53" s="115">
        <v>2</v>
      </c>
      <c r="X53" s="115">
        <v>11</v>
      </c>
      <c r="Y53" s="13">
        <f t="shared" si="15"/>
        <v>9</v>
      </c>
      <c r="Z53" s="23">
        <v>3</v>
      </c>
      <c r="AA53" s="23">
        <v>4</v>
      </c>
      <c r="AB53" s="49" t="s">
        <v>316</v>
      </c>
      <c r="AC53" s="23">
        <v>250</v>
      </c>
      <c r="AD53" s="23">
        <v>30</v>
      </c>
      <c r="AE53" s="23">
        <v>0</v>
      </c>
      <c r="AF53" s="23"/>
      <c r="AG53" s="14">
        <v>1</v>
      </c>
      <c r="AH53" s="23">
        <v>6</v>
      </c>
      <c r="AI53" s="47">
        <v>0</v>
      </c>
      <c r="AJ53" s="47">
        <v>0</v>
      </c>
      <c r="AK53" s="23">
        <v>0</v>
      </c>
      <c r="AL53" s="14">
        <v>110</v>
      </c>
      <c r="AM53" s="23">
        <v>25</v>
      </c>
      <c r="AN53" s="23">
        <v>0</v>
      </c>
      <c r="AO53" s="23">
        <v>0</v>
      </c>
      <c r="AP53" s="23">
        <v>0</v>
      </c>
      <c r="AQ53" s="23">
        <v>0</v>
      </c>
      <c r="AR53" s="47">
        <v>0</v>
      </c>
      <c r="AS53" s="47">
        <v>0</v>
      </c>
      <c r="AT53" s="23">
        <v>0</v>
      </c>
      <c r="AU53" s="23">
        <v>0</v>
      </c>
      <c r="AV53" s="23">
        <v>0</v>
      </c>
      <c r="AW53" s="23">
        <v>1</v>
      </c>
      <c r="AX53" s="23">
        <v>0</v>
      </c>
      <c r="AY53" s="23">
        <v>1</v>
      </c>
      <c r="AZ53" s="47">
        <v>0</v>
      </c>
      <c r="BA53" s="29">
        <v>1</v>
      </c>
      <c r="BB53" s="23">
        <v>0</v>
      </c>
      <c r="BC53" s="23">
        <v>0</v>
      </c>
      <c r="BD53" s="23">
        <v>0.9</v>
      </c>
      <c r="BE53" s="23">
        <f t="shared" ref="BE53:BE60" si="20">2*BI53</f>
        <v>24</v>
      </c>
      <c r="BF53" s="23">
        <v>0</v>
      </c>
      <c r="BG53" s="23">
        <v>0</v>
      </c>
      <c r="BH53" s="23">
        <v>0</v>
      </c>
      <c r="BI53" s="14">
        <v>12</v>
      </c>
      <c r="BJ53" s="14">
        <v>8</v>
      </c>
      <c r="BK53" s="14" t="s">
        <v>9</v>
      </c>
      <c r="BL53" s="23"/>
      <c r="BM53" s="14">
        <v>1</v>
      </c>
      <c r="BN53" s="14"/>
      <c r="BO53" s="14"/>
      <c r="BP53" s="14"/>
      <c r="BQ53" s="13"/>
      <c r="BR53" s="14"/>
      <c r="BS53" s="14"/>
      <c r="BT53" s="13"/>
      <c r="BU53" s="13"/>
      <c r="BV53" s="13"/>
      <c r="BW53" s="15"/>
      <c r="BX53" s="84" t="s">
        <v>226</v>
      </c>
      <c r="BY53" s="15" t="str">
        <f t="shared" si="19"/>
        <v>Approx 8 (2*SP)</v>
      </c>
      <c r="BZ53" s="51" t="s">
        <v>254</v>
      </c>
    </row>
    <row r="54" spans="1:78" s="75" customFormat="1" ht="13.5" thickBot="1" x14ac:dyDescent="0.25">
      <c r="A54" s="53">
        <v>24</v>
      </c>
      <c r="B54" s="53" t="str">
        <f t="shared" si="11"/>
        <v>EMITTER_24</v>
      </c>
      <c r="C54" s="53">
        <f t="shared" si="16"/>
        <v>120</v>
      </c>
      <c r="D54" s="12">
        <f t="shared" si="12"/>
        <v>24001</v>
      </c>
      <c r="E54" s="52">
        <v>1</v>
      </c>
      <c r="F54" s="57" t="s">
        <v>103</v>
      </c>
      <c r="G54" s="53" t="str">
        <f t="shared" si="17"/>
        <v>Z024Z</v>
      </c>
      <c r="H54" s="55" t="s">
        <v>5</v>
      </c>
      <c r="I54" s="55"/>
      <c r="J54" s="55"/>
      <c r="K54" s="55"/>
      <c r="L54" s="52">
        <v>2500</v>
      </c>
      <c r="M54" s="52">
        <v>2550</v>
      </c>
      <c r="N54" s="53">
        <f t="shared" si="18"/>
        <v>50</v>
      </c>
      <c r="O54" s="29">
        <f t="shared" si="13"/>
        <v>50</v>
      </c>
      <c r="P54" s="56" t="s">
        <v>6</v>
      </c>
      <c r="Q54" s="56"/>
      <c r="R54" s="114">
        <v>700</v>
      </c>
      <c r="S54" s="102">
        <v>700</v>
      </c>
      <c r="T54" s="55">
        <f t="shared" si="14"/>
        <v>0</v>
      </c>
      <c r="U54" s="56" t="s">
        <v>6</v>
      </c>
      <c r="V54" s="56"/>
      <c r="W54" s="114">
        <v>1</v>
      </c>
      <c r="X54" s="114">
        <v>2</v>
      </c>
      <c r="Y54" s="55">
        <f t="shared" si="15"/>
        <v>1</v>
      </c>
      <c r="Z54" s="55">
        <v>0</v>
      </c>
      <c r="AA54" s="55">
        <v>0</v>
      </c>
      <c r="AB54" s="55" t="s">
        <v>12</v>
      </c>
      <c r="AC54" s="57">
        <v>0</v>
      </c>
      <c r="AD54" s="57">
        <v>0</v>
      </c>
      <c r="AE54" s="57">
        <v>0</v>
      </c>
      <c r="AF54" s="57">
        <v>0</v>
      </c>
      <c r="AG54" s="52">
        <v>3</v>
      </c>
      <c r="AH54" s="57">
        <v>5</v>
      </c>
      <c r="AI54" s="57">
        <v>0</v>
      </c>
      <c r="AJ54" s="57">
        <v>0</v>
      </c>
      <c r="AK54" s="57">
        <v>0</v>
      </c>
      <c r="AL54" s="52">
        <v>111</v>
      </c>
      <c r="AM54" s="57">
        <v>20</v>
      </c>
      <c r="AN54" s="57">
        <v>0</v>
      </c>
      <c r="AO54" s="57">
        <v>0</v>
      </c>
      <c r="AP54" s="57">
        <v>0</v>
      </c>
      <c r="AQ54" s="57">
        <v>0</v>
      </c>
      <c r="AR54" s="57">
        <v>0</v>
      </c>
      <c r="AS54" s="57">
        <v>0</v>
      </c>
      <c r="AT54" s="57">
        <v>0</v>
      </c>
      <c r="AU54" s="57">
        <v>0</v>
      </c>
      <c r="AV54" s="57">
        <v>0</v>
      </c>
      <c r="AW54" s="57">
        <v>1</v>
      </c>
      <c r="AX54" s="57">
        <v>0</v>
      </c>
      <c r="AY54" s="57">
        <v>1</v>
      </c>
      <c r="AZ54" s="57">
        <v>8</v>
      </c>
      <c r="BA54" s="53">
        <v>1</v>
      </c>
      <c r="BB54" s="57">
        <v>0</v>
      </c>
      <c r="BC54" s="57">
        <v>0</v>
      </c>
      <c r="BD54" s="57">
        <v>0.9</v>
      </c>
      <c r="BE54" s="57">
        <f t="shared" si="20"/>
        <v>22</v>
      </c>
      <c r="BF54" s="57">
        <v>0</v>
      </c>
      <c r="BG54" s="57">
        <v>0</v>
      </c>
      <c r="BH54" s="57">
        <v>0</v>
      </c>
      <c r="BI54" s="52">
        <v>11</v>
      </c>
      <c r="BJ54" s="52">
        <v>5</v>
      </c>
      <c r="BK54" s="52" t="s">
        <v>9</v>
      </c>
      <c r="BL54" s="65"/>
      <c r="BM54" s="52">
        <v>1</v>
      </c>
      <c r="BN54" s="52"/>
      <c r="BO54" s="52"/>
      <c r="BP54" s="52"/>
      <c r="BQ54" s="55"/>
      <c r="BR54" s="52"/>
      <c r="BS54" s="52"/>
      <c r="BT54" s="55"/>
      <c r="BU54" s="55"/>
      <c r="BV54" s="55"/>
      <c r="BW54" s="56"/>
      <c r="BX54" s="70" t="s">
        <v>226</v>
      </c>
      <c r="BY54" s="56">
        <v>4</v>
      </c>
      <c r="BZ54" s="62" t="s">
        <v>254</v>
      </c>
    </row>
    <row r="55" spans="1:78" s="20" customFormat="1" ht="26.25" thickBot="1" x14ac:dyDescent="0.25">
      <c r="A55" s="29">
        <v>25</v>
      </c>
      <c r="B55" s="29" t="str">
        <f t="shared" si="11"/>
        <v>EMITTER_25</v>
      </c>
      <c r="C55" s="29">
        <f t="shared" si="16"/>
        <v>125</v>
      </c>
      <c r="D55" s="12">
        <f t="shared" si="12"/>
        <v>25001</v>
      </c>
      <c r="E55" s="29">
        <v>1</v>
      </c>
      <c r="F55" s="23" t="s">
        <v>62</v>
      </c>
      <c r="G55" s="29" t="str">
        <f t="shared" si="17"/>
        <v>Z025Z</v>
      </c>
      <c r="H55" s="13" t="s">
        <v>24</v>
      </c>
      <c r="I55" s="13"/>
      <c r="J55" s="13"/>
      <c r="K55" s="13"/>
      <c r="L55" s="29">
        <v>4550</v>
      </c>
      <c r="M55" s="29">
        <v>4551</v>
      </c>
      <c r="N55" s="29">
        <f t="shared" si="18"/>
        <v>1</v>
      </c>
      <c r="O55" s="29">
        <f t="shared" si="13"/>
        <v>1</v>
      </c>
      <c r="P55" s="15" t="s">
        <v>64</v>
      </c>
      <c r="Q55" s="15" t="s">
        <v>100</v>
      </c>
      <c r="R55" s="115">
        <v>1225</v>
      </c>
      <c r="S55" s="104">
        <v>1225</v>
      </c>
      <c r="T55" s="13">
        <f t="shared" si="14"/>
        <v>0</v>
      </c>
      <c r="U55" s="50" t="s">
        <v>6</v>
      </c>
      <c r="V55" s="50"/>
      <c r="W55" s="115">
        <v>2</v>
      </c>
      <c r="X55" s="115">
        <v>3</v>
      </c>
      <c r="Y55" s="13">
        <f t="shared" si="15"/>
        <v>1</v>
      </c>
      <c r="Z55" s="23">
        <v>12</v>
      </c>
      <c r="AA55" s="23">
        <v>12</v>
      </c>
      <c r="AB55" s="49" t="s">
        <v>316</v>
      </c>
      <c r="AC55" s="23">
        <v>0</v>
      </c>
      <c r="AD55" s="47">
        <v>360</v>
      </c>
      <c r="AE55" s="23">
        <v>0</v>
      </c>
      <c r="AF55" s="23">
        <v>0</v>
      </c>
      <c r="AG55" s="14">
        <v>3</v>
      </c>
      <c r="AH55" s="23">
        <v>5</v>
      </c>
      <c r="AI55" s="23">
        <v>0</v>
      </c>
      <c r="AJ55" s="23"/>
      <c r="AK55" s="23">
        <v>0</v>
      </c>
      <c r="AL55" s="14">
        <v>115</v>
      </c>
      <c r="AM55" s="23">
        <v>20</v>
      </c>
      <c r="AN55" s="23">
        <v>0</v>
      </c>
      <c r="AO55" s="23">
        <v>0</v>
      </c>
      <c r="AP55" s="23">
        <v>0</v>
      </c>
      <c r="AQ55" s="23">
        <v>0</v>
      </c>
      <c r="AR55" s="23">
        <v>0</v>
      </c>
      <c r="AS55" s="23">
        <v>0</v>
      </c>
      <c r="AT55" s="23">
        <v>0</v>
      </c>
      <c r="AU55" s="23">
        <v>0</v>
      </c>
      <c r="AV55" s="23">
        <v>0</v>
      </c>
      <c r="AW55" s="23">
        <v>1</v>
      </c>
      <c r="AX55" s="23">
        <v>0</v>
      </c>
      <c r="AY55" s="23">
        <v>1</v>
      </c>
      <c r="AZ55" s="23">
        <v>0</v>
      </c>
      <c r="BA55" s="29">
        <v>1</v>
      </c>
      <c r="BB55" s="23">
        <v>0</v>
      </c>
      <c r="BC55" s="23">
        <v>1</v>
      </c>
      <c r="BD55" s="23">
        <v>0.9</v>
      </c>
      <c r="BE55" s="23">
        <f t="shared" si="20"/>
        <v>40</v>
      </c>
      <c r="BF55" s="23">
        <v>0</v>
      </c>
      <c r="BG55" s="23">
        <v>0</v>
      </c>
      <c r="BH55" s="23">
        <v>0</v>
      </c>
      <c r="BI55" s="14">
        <v>20</v>
      </c>
      <c r="BJ55" s="14">
        <v>3</v>
      </c>
      <c r="BK55" s="14" t="s">
        <v>9</v>
      </c>
      <c r="BL55" s="23"/>
      <c r="BM55" s="14">
        <v>1</v>
      </c>
      <c r="BN55" s="14"/>
      <c r="BO55" s="14"/>
      <c r="BP55" s="14"/>
      <c r="BQ55" s="13"/>
      <c r="BR55" s="14"/>
      <c r="BS55" s="14"/>
      <c r="BT55" s="13"/>
      <c r="BU55" s="83"/>
      <c r="BV55" s="83"/>
      <c r="BW55" s="15" t="s">
        <v>242</v>
      </c>
      <c r="BX55" s="43" t="s">
        <v>226</v>
      </c>
      <c r="BY55" s="15" t="str">
        <f t="shared" ref="BY55:BY60" si="21">"Approx "&amp;TEXT((2*AA55),0)&amp;" (2*SP)"</f>
        <v>Approx 24 (2*SP)</v>
      </c>
      <c r="BZ55" s="51" t="s">
        <v>254</v>
      </c>
    </row>
    <row r="56" spans="1:78" s="20" customFormat="1" ht="26.25" thickBot="1" x14ac:dyDescent="0.25">
      <c r="A56" s="29">
        <v>25</v>
      </c>
      <c r="B56" s="29" t="str">
        <f t="shared" si="11"/>
        <v>EMITTER_25</v>
      </c>
      <c r="C56" s="29">
        <f t="shared" si="16"/>
        <v>125</v>
      </c>
      <c r="D56" s="12">
        <f t="shared" si="12"/>
        <v>25012</v>
      </c>
      <c r="E56" s="29">
        <v>12</v>
      </c>
      <c r="F56" s="23" t="s">
        <v>62</v>
      </c>
      <c r="G56" s="29" t="str">
        <f t="shared" si="17"/>
        <v>Z025Z</v>
      </c>
      <c r="H56" s="13" t="s">
        <v>24</v>
      </c>
      <c r="I56" s="13"/>
      <c r="J56" s="13"/>
      <c r="K56" s="13"/>
      <c r="L56" s="29">
        <v>4588</v>
      </c>
      <c r="M56" s="29">
        <v>4590</v>
      </c>
      <c r="N56" s="29">
        <f t="shared" si="18"/>
        <v>2</v>
      </c>
      <c r="O56" s="29">
        <f t="shared" si="13"/>
        <v>2</v>
      </c>
      <c r="P56" s="15" t="s">
        <v>64</v>
      </c>
      <c r="Q56" s="15"/>
      <c r="R56" s="115">
        <v>1225</v>
      </c>
      <c r="S56" s="104">
        <v>1225</v>
      </c>
      <c r="T56" s="13">
        <f t="shared" si="14"/>
        <v>0</v>
      </c>
      <c r="U56" s="50" t="s">
        <v>6</v>
      </c>
      <c r="V56" s="50"/>
      <c r="W56" s="115">
        <v>2</v>
      </c>
      <c r="X56" s="115">
        <v>3</v>
      </c>
      <c r="Y56" s="13">
        <f t="shared" si="15"/>
        <v>1</v>
      </c>
      <c r="Z56" s="23">
        <v>12</v>
      </c>
      <c r="AA56" s="23">
        <v>12</v>
      </c>
      <c r="AB56" s="49" t="s">
        <v>316</v>
      </c>
      <c r="AC56" s="23">
        <v>0</v>
      </c>
      <c r="AD56" s="47">
        <v>360</v>
      </c>
      <c r="AE56" s="23">
        <v>0</v>
      </c>
      <c r="AF56" s="23">
        <v>0</v>
      </c>
      <c r="AG56" s="14">
        <v>3</v>
      </c>
      <c r="AH56" s="23">
        <v>5</v>
      </c>
      <c r="AI56" s="23">
        <v>0</v>
      </c>
      <c r="AJ56" s="23"/>
      <c r="AK56" s="23">
        <v>0</v>
      </c>
      <c r="AL56" s="14">
        <v>115</v>
      </c>
      <c r="AM56" s="23">
        <v>20</v>
      </c>
      <c r="AN56" s="23">
        <v>0</v>
      </c>
      <c r="AO56" s="23">
        <v>0</v>
      </c>
      <c r="AP56" s="23">
        <v>0</v>
      </c>
      <c r="AQ56" s="23">
        <v>0</v>
      </c>
      <c r="AR56" s="23">
        <v>0</v>
      </c>
      <c r="AS56" s="23">
        <v>0</v>
      </c>
      <c r="AT56" s="23">
        <v>0</v>
      </c>
      <c r="AU56" s="23">
        <v>0</v>
      </c>
      <c r="AV56" s="23">
        <v>0</v>
      </c>
      <c r="AW56" s="23">
        <v>1</v>
      </c>
      <c r="AX56" s="23">
        <v>0</v>
      </c>
      <c r="AY56" s="23">
        <v>1</v>
      </c>
      <c r="AZ56" s="23">
        <v>0</v>
      </c>
      <c r="BA56" s="29">
        <v>1</v>
      </c>
      <c r="BB56" s="23">
        <v>0</v>
      </c>
      <c r="BC56" s="23">
        <v>1</v>
      </c>
      <c r="BD56" s="23">
        <v>0.9</v>
      </c>
      <c r="BE56" s="23">
        <f t="shared" si="20"/>
        <v>40</v>
      </c>
      <c r="BF56" s="23">
        <v>0</v>
      </c>
      <c r="BG56" s="23">
        <v>0</v>
      </c>
      <c r="BH56" s="23">
        <v>0</v>
      </c>
      <c r="BI56" s="14">
        <v>20</v>
      </c>
      <c r="BJ56" s="14">
        <v>3</v>
      </c>
      <c r="BK56" s="14" t="s">
        <v>9</v>
      </c>
      <c r="BL56" s="23"/>
      <c r="BM56" s="14">
        <v>1</v>
      </c>
      <c r="BN56" s="14"/>
      <c r="BO56" s="14"/>
      <c r="BP56" s="14"/>
      <c r="BQ56" s="13"/>
      <c r="BR56" s="14"/>
      <c r="BS56" s="14"/>
      <c r="BT56" s="13"/>
      <c r="BU56" s="23"/>
      <c r="BV56" s="23"/>
      <c r="BW56" s="39" t="s">
        <v>239</v>
      </c>
      <c r="BX56" s="43" t="s">
        <v>226</v>
      </c>
      <c r="BY56" s="15" t="str">
        <f t="shared" si="21"/>
        <v>Approx 24 (2*SP)</v>
      </c>
      <c r="BZ56" s="51" t="s">
        <v>254</v>
      </c>
    </row>
    <row r="57" spans="1:78" s="20" customFormat="1" ht="26.25" thickBot="1" x14ac:dyDescent="0.25">
      <c r="A57" s="29">
        <v>25</v>
      </c>
      <c r="B57" s="29" t="str">
        <f t="shared" si="11"/>
        <v>EMITTER_25</v>
      </c>
      <c r="C57" s="29">
        <f t="shared" si="16"/>
        <v>125</v>
      </c>
      <c r="D57" s="12">
        <f t="shared" si="12"/>
        <v>25013</v>
      </c>
      <c r="E57" s="29">
        <v>13</v>
      </c>
      <c r="F57" s="23" t="s">
        <v>62</v>
      </c>
      <c r="G57" s="29" t="str">
        <f t="shared" si="17"/>
        <v>Z025Z</v>
      </c>
      <c r="H57" s="13" t="s">
        <v>24</v>
      </c>
      <c r="I57" s="13"/>
      <c r="J57" s="13"/>
      <c r="K57" s="13"/>
      <c r="L57" s="29">
        <v>4620</v>
      </c>
      <c r="M57" s="29">
        <v>4622</v>
      </c>
      <c r="N57" s="29">
        <f t="shared" si="18"/>
        <v>2</v>
      </c>
      <c r="O57" s="29">
        <f t="shared" si="13"/>
        <v>2</v>
      </c>
      <c r="P57" s="15" t="s">
        <v>64</v>
      </c>
      <c r="Q57" s="15"/>
      <c r="R57" s="115">
        <v>1225</v>
      </c>
      <c r="S57" s="104">
        <v>1225</v>
      </c>
      <c r="T57" s="13">
        <f t="shared" si="14"/>
        <v>0</v>
      </c>
      <c r="U57" s="50" t="s">
        <v>6</v>
      </c>
      <c r="V57" s="50"/>
      <c r="W57" s="115">
        <v>2</v>
      </c>
      <c r="X57" s="115">
        <v>4</v>
      </c>
      <c r="Y57" s="13">
        <f t="shared" si="15"/>
        <v>2</v>
      </c>
      <c r="Z57" s="23">
        <v>12</v>
      </c>
      <c r="AA57" s="23">
        <v>12</v>
      </c>
      <c r="AB57" s="49" t="s">
        <v>316</v>
      </c>
      <c r="AC57" s="23">
        <v>0</v>
      </c>
      <c r="AD57" s="47">
        <v>360</v>
      </c>
      <c r="AE57" s="23">
        <v>0</v>
      </c>
      <c r="AF57" s="23">
        <v>0</v>
      </c>
      <c r="AG57" s="14">
        <v>3</v>
      </c>
      <c r="AH57" s="23">
        <v>5</v>
      </c>
      <c r="AI57" s="23">
        <v>0</v>
      </c>
      <c r="AJ57" s="23"/>
      <c r="AK57" s="23">
        <v>0</v>
      </c>
      <c r="AL57" s="14">
        <v>115</v>
      </c>
      <c r="AM57" s="23">
        <v>20</v>
      </c>
      <c r="AN57" s="23">
        <v>0</v>
      </c>
      <c r="AO57" s="23">
        <v>0</v>
      </c>
      <c r="AP57" s="23">
        <v>0</v>
      </c>
      <c r="AQ57" s="23">
        <v>0</v>
      </c>
      <c r="AR57" s="23">
        <v>0</v>
      </c>
      <c r="AS57" s="23">
        <v>0</v>
      </c>
      <c r="AT57" s="23">
        <v>0</v>
      </c>
      <c r="AU57" s="23">
        <v>0</v>
      </c>
      <c r="AV57" s="23">
        <v>0</v>
      </c>
      <c r="AW57" s="23">
        <v>1</v>
      </c>
      <c r="AX57" s="23">
        <v>0</v>
      </c>
      <c r="AY57" s="23">
        <v>1</v>
      </c>
      <c r="AZ57" s="23">
        <v>0</v>
      </c>
      <c r="BA57" s="29">
        <v>1</v>
      </c>
      <c r="BB57" s="23">
        <v>0</v>
      </c>
      <c r="BC57" s="23">
        <v>1</v>
      </c>
      <c r="BD57" s="23">
        <v>0.9</v>
      </c>
      <c r="BE57" s="23">
        <f t="shared" si="20"/>
        <v>40</v>
      </c>
      <c r="BF57" s="23">
        <v>0</v>
      </c>
      <c r="BG57" s="23">
        <v>0</v>
      </c>
      <c r="BH57" s="23">
        <v>0</v>
      </c>
      <c r="BI57" s="14">
        <v>20</v>
      </c>
      <c r="BJ57" s="14">
        <v>3</v>
      </c>
      <c r="BK57" s="14" t="s">
        <v>9</v>
      </c>
      <c r="BL57" s="23"/>
      <c r="BM57" s="14"/>
      <c r="BN57" s="14"/>
      <c r="BO57" s="14"/>
      <c r="BP57" s="14">
        <v>1</v>
      </c>
      <c r="BQ57" s="13"/>
      <c r="BR57" s="14">
        <v>1</v>
      </c>
      <c r="BS57" s="14"/>
      <c r="BT57" s="13"/>
      <c r="BU57" s="23"/>
      <c r="BV57" s="23"/>
      <c r="BW57" s="39" t="s">
        <v>240</v>
      </c>
      <c r="BX57" s="43" t="s">
        <v>226</v>
      </c>
      <c r="BY57" s="15" t="str">
        <f t="shared" si="21"/>
        <v>Approx 24 (2*SP)</v>
      </c>
      <c r="BZ57" s="51" t="s">
        <v>254</v>
      </c>
    </row>
    <row r="58" spans="1:78" s="20" customFormat="1" ht="26.25" thickBot="1" x14ac:dyDescent="0.25">
      <c r="A58" s="29">
        <v>25</v>
      </c>
      <c r="B58" s="29" t="str">
        <f t="shared" si="11"/>
        <v>EMITTER_25</v>
      </c>
      <c r="C58" s="29">
        <f t="shared" si="16"/>
        <v>125</v>
      </c>
      <c r="D58" s="12">
        <f t="shared" si="12"/>
        <v>25002</v>
      </c>
      <c r="E58" s="29">
        <v>2</v>
      </c>
      <c r="F58" s="23" t="s">
        <v>62</v>
      </c>
      <c r="G58" s="29" t="str">
        <f t="shared" si="17"/>
        <v>Z025Z</v>
      </c>
      <c r="H58" s="13" t="s">
        <v>24</v>
      </c>
      <c r="I58" s="13"/>
      <c r="J58" s="13"/>
      <c r="K58" s="13"/>
      <c r="L58" s="29">
        <v>4720</v>
      </c>
      <c r="M58" s="29">
        <v>4722</v>
      </c>
      <c r="N58" s="29">
        <f t="shared" si="18"/>
        <v>2</v>
      </c>
      <c r="O58" s="29">
        <f t="shared" si="13"/>
        <v>2</v>
      </c>
      <c r="P58" s="15" t="s">
        <v>64</v>
      </c>
      <c r="Q58" s="15" t="s">
        <v>100</v>
      </c>
      <c r="R58" s="115">
        <v>1225</v>
      </c>
      <c r="S58" s="104">
        <v>1225</v>
      </c>
      <c r="T58" s="13">
        <f t="shared" si="14"/>
        <v>0</v>
      </c>
      <c r="U58" s="50" t="s">
        <v>6</v>
      </c>
      <c r="V58" s="50"/>
      <c r="W58" s="115">
        <v>2</v>
      </c>
      <c r="X58" s="115">
        <v>4</v>
      </c>
      <c r="Y58" s="13">
        <f t="shared" si="15"/>
        <v>2</v>
      </c>
      <c r="Z58" s="23">
        <v>12</v>
      </c>
      <c r="AA58" s="23">
        <v>12</v>
      </c>
      <c r="AB58" s="49" t="s">
        <v>316</v>
      </c>
      <c r="AC58" s="23">
        <v>0</v>
      </c>
      <c r="AD58" s="47">
        <v>360</v>
      </c>
      <c r="AE58" s="23">
        <v>0</v>
      </c>
      <c r="AF58" s="23">
        <v>0</v>
      </c>
      <c r="AG58" s="14">
        <v>3</v>
      </c>
      <c r="AH58" s="23">
        <v>5</v>
      </c>
      <c r="AI58" s="23">
        <v>0</v>
      </c>
      <c r="AJ58" s="23"/>
      <c r="AK58" s="23">
        <v>0</v>
      </c>
      <c r="AL58" s="14">
        <v>115</v>
      </c>
      <c r="AM58" s="23">
        <v>20</v>
      </c>
      <c r="AN58" s="23">
        <v>0</v>
      </c>
      <c r="AO58" s="23">
        <v>0</v>
      </c>
      <c r="AP58" s="23">
        <v>0</v>
      </c>
      <c r="AQ58" s="23">
        <v>0</v>
      </c>
      <c r="AR58" s="23">
        <v>0</v>
      </c>
      <c r="AS58" s="23">
        <v>0</v>
      </c>
      <c r="AT58" s="23">
        <v>0</v>
      </c>
      <c r="AU58" s="23">
        <v>0</v>
      </c>
      <c r="AV58" s="23">
        <v>0</v>
      </c>
      <c r="AW58" s="23">
        <v>1</v>
      </c>
      <c r="AX58" s="23">
        <v>0</v>
      </c>
      <c r="AY58" s="23">
        <v>1</v>
      </c>
      <c r="AZ58" s="23">
        <v>0</v>
      </c>
      <c r="BA58" s="29">
        <v>1</v>
      </c>
      <c r="BB58" s="23">
        <v>0</v>
      </c>
      <c r="BC58" s="23">
        <v>1</v>
      </c>
      <c r="BD58" s="23">
        <v>0.9</v>
      </c>
      <c r="BE58" s="23">
        <f t="shared" si="20"/>
        <v>40</v>
      </c>
      <c r="BF58" s="23">
        <v>0</v>
      </c>
      <c r="BG58" s="23">
        <v>0</v>
      </c>
      <c r="BH58" s="23">
        <v>0</v>
      </c>
      <c r="BI58" s="14">
        <v>20</v>
      </c>
      <c r="BJ58" s="14">
        <v>3</v>
      </c>
      <c r="BK58" s="14" t="s">
        <v>9</v>
      </c>
      <c r="BL58" s="23"/>
      <c r="BM58" s="14"/>
      <c r="BN58" s="14">
        <v>1</v>
      </c>
      <c r="BO58" s="14"/>
      <c r="BP58" s="14"/>
      <c r="BQ58" s="13"/>
      <c r="BR58" s="14"/>
      <c r="BS58" s="14"/>
      <c r="BT58" s="13"/>
      <c r="BU58" s="79"/>
      <c r="BV58" s="79"/>
      <c r="BW58" s="39" t="s">
        <v>241</v>
      </c>
      <c r="BX58" s="43" t="s">
        <v>226</v>
      </c>
      <c r="BY58" s="15" t="str">
        <f t="shared" si="21"/>
        <v>Approx 24 (2*SP)</v>
      </c>
      <c r="BZ58" s="51" t="s">
        <v>254</v>
      </c>
    </row>
    <row r="59" spans="1:78" s="20" customFormat="1" ht="26.25" thickBot="1" x14ac:dyDescent="0.25">
      <c r="A59" s="29">
        <v>25</v>
      </c>
      <c r="B59" s="29" t="str">
        <f t="shared" si="11"/>
        <v>EMITTER_25</v>
      </c>
      <c r="C59" s="29">
        <f t="shared" si="16"/>
        <v>125</v>
      </c>
      <c r="D59" s="12">
        <f t="shared" si="12"/>
        <v>25021</v>
      </c>
      <c r="E59" s="29">
        <v>21</v>
      </c>
      <c r="F59" s="23" t="s">
        <v>62</v>
      </c>
      <c r="G59" s="29" t="str">
        <f t="shared" si="17"/>
        <v>Z025Z</v>
      </c>
      <c r="H59" s="13" t="s">
        <v>24</v>
      </c>
      <c r="I59" s="13"/>
      <c r="J59" s="13"/>
      <c r="K59" s="13"/>
      <c r="L59" s="29">
        <v>4788</v>
      </c>
      <c r="M59" s="29">
        <v>4790</v>
      </c>
      <c r="N59" s="29">
        <f t="shared" si="18"/>
        <v>2</v>
      </c>
      <c r="O59" s="29">
        <f t="shared" si="13"/>
        <v>2</v>
      </c>
      <c r="P59" s="15" t="s">
        <v>64</v>
      </c>
      <c r="Q59" s="15"/>
      <c r="R59" s="115">
        <v>1225</v>
      </c>
      <c r="S59" s="104">
        <v>1225</v>
      </c>
      <c r="T59" s="13">
        <f t="shared" si="14"/>
        <v>0</v>
      </c>
      <c r="U59" s="50" t="s">
        <v>6</v>
      </c>
      <c r="V59" s="50"/>
      <c r="W59" s="115">
        <v>2</v>
      </c>
      <c r="X59" s="115">
        <v>4</v>
      </c>
      <c r="Y59" s="13">
        <f t="shared" si="15"/>
        <v>2</v>
      </c>
      <c r="Z59" s="23">
        <v>12</v>
      </c>
      <c r="AA59" s="23">
        <v>12</v>
      </c>
      <c r="AB59" s="49" t="s">
        <v>316</v>
      </c>
      <c r="AC59" s="23">
        <v>0</v>
      </c>
      <c r="AD59" s="47">
        <v>360</v>
      </c>
      <c r="AE59" s="23">
        <v>0</v>
      </c>
      <c r="AF59" s="23">
        <v>0</v>
      </c>
      <c r="AG59" s="14">
        <v>3</v>
      </c>
      <c r="AH59" s="23">
        <v>5</v>
      </c>
      <c r="AI59" s="23">
        <v>0</v>
      </c>
      <c r="AJ59" s="23"/>
      <c r="AK59" s="23">
        <v>0</v>
      </c>
      <c r="AL59" s="14">
        <v>115</v>
      </c>
      <c r="AM59" s="23">
        <v>20</v>
      </c>
      <c r="AN59" s="23">
        <v>0</v>
      </c>
      <c r="AO59" s="23">
        <v>0</v>
      </c>
      <c r="AP59" s="23">
        <v>0</v>
      </c>
      <c r="AQ59" s="23">
        <v>0</v>
      </c>
      <c r="AR59" s="23">
        <v>0</v>
      </c>
      <c r="AS59" s="23">
        <v>0</v>
      </c>
      <c r="AT59" s="23">
        <v>0</v>
      </c>
      <c r="AU59" s="23">
        <v>0</v>
      </c>
      <c r="AV59" s="23">
        <v>0</v>
      </c>
      <c r="AW59" s="23">
        <v>1</v>
      </c>
      <c r="AX59" s="23">
        <v>0</v>
      </c>
      <c r="AY59" s="23">
        <v>1</v>
      </c>
      <c r="AZ59" s="23">
        <v>0</v>
      </c>
      <c r="BA59" s="29">
        <v>1</v>
      </c>
      <c r="BB59" s="23">
        <v>0</v>
      </c>
      <c r="BC59" s="23">
        <v>1</v>
      </c>
      <c r="BD59" s="23">
        <v>0.9</v>
      </c>
      <c r="BE59" s="23">
        <f t="shared" si="20"/>
        <v>40</v>
      </c>
      <c r="BF59" s="23">
        <v>0</v>
      </c>
      <c r="BG59" s="23">
        <v>0</v>
      </c>
      <c r="BH59" s="23">
        <v>0</v>
      </c>
      <c r="BI59" s="14">
        <v>20</v>
      </c>
      <c r="BJ59" s="14">
        <v>3</v>
      </c>
      <c r="BK59" s="14" t="s">
        <v>9</v>
      </c>
      <c r="BL59" s="23"/>
      <c r="BM59" s="14">
        <v>1</v>
      </c>
      <c r="BN59" s="14"/>
      <c r="BO59" s="14"/>
      <c r="BP59" s="14"/>
      <c r="BQ59" s="13"/>
      <c r="BR59" s="14"/>
      <c r="BS59" s="14"/>
      <c r="BT59" s="13"/>
      <c r="BU59" s="13"/>
      <c r="BV59" s="13"/>
      <c r="BW59" s="39" t="s">
        <v>239</v>
      </c>
      <c r="BX59" s="43" t="s">
        <v>226</v>
      </c>
      <c r="BY59" s="15" t="str">
        <f t="shared" si="21"/>
        <v>Approx 24 (2*SP)</v>
      </c>
      <c r="BZ59" s="51" t="s">
        <v>254</v>
      </c>
    </row>
    <row r="60" spans="1:78" s="20" customFormat="1" ht="26.25" thickBot="1" x14ac:dyDescent="0.25">
      <c r="A60" s="29">
        <v>25</v>
      </c>
      <c r="B60" s="29" t="str">
        <f t="shared" si="11"/>
        <v>EMITTER_25</v>
      </c>
      <c r="C60" s="29">
        <f t="shared" si="16"/>
        <v>125</v>
      </c>
      <c r="D60" s="12">
        <f t="shared" si="12"/>
        <v>25022</v>
      </c>
      <c r="E60" s="29">
        <v>22</v>
      </c>
      <c r="F60" s="23" t="s">
        <v>62</v>
      </c>
      <c r="G60" s="29" t="str">
        <f t="shared" si="17"/>
        <v>Z025Z</v>
      </c>
      <c r="H60" s="13" t="s">
        <v>24</v>
      </c>
      <c r="I60" s="13"/>
      <c r="J60" s="13"/>
      <c r="K60" s="13"/>
      <c r="L60" s="29">
        <v>4818</v>
      </c>
      <c r="M60" s="29">
        <v>4820</v>
      </c>
      <c r="N60" s="29">
        <f t="shared" si="18"/>
        <v>2</v>
      </c>
      <c r="O60" s="29">
        <f t="shared" si="13"/>
        <v>2</v>
      </c>
      <c r="P60" s="15" t="s">
        <v>64</v>
      </c>
      <c r="Q60" s="15"/>
      <c r="R60" s="115">
        <v>1225</v>
      </c>
      <c r="S60" s="104">
        <v>1225</v>
      </c>
      <c r="T60" s="13">
        <f t="shared" si="14"/>
        <v>0</v>
      </c>
      <c r="U60" s="50" t="s">
        <v>6</v>
      </c>
      <c r="V60" s="50"/>
      <c r="W60" s="115">
        <v>2</v>
      </c>
      <c r="X60" s="115">
        <v>4</v>
      </c>
      <c r="Y60" s="13">
        <f t="shared" si="15"/>
        <v>2</v>
      </c>
      <c r="Z60" s="23">
        <v>12</v>
      </c>
      <c r="AA60" s="23">
        <v>12</v>
      </c>
      <c r="AB60" s="49" t="s">
        <v>316</v>
      </c>
      <c r="AC60" s="23">
        <v>0</v>
      </c>
      <c r="AD60" s="47">
        <v>360</v>
      </c>
      <c r="AE60" s="23">
        <v>0</v>
      </c>
      <c r="AF60" s="23">
        <v>0</v>
      </c>
      <c r="AG60" s="14">
        <v>3</v>
      </c>
      <c r="AH60" s="23">
        <v>5</v>
      </c>
      <c r="AI60" s="23">
        <v>0</v>
      </c>
      <c r="AJ60" s="23"/>
      <c r="AK60" s="23">
        <v>0</v>
      </c>
      <c r="AL60" s="14">
        <v>115</v>
      </c>
      <c r="AM60" s="23">
        <v>20</v>
      </c>
      <c r="AN60" s="23">
        <v>0</v>
      </c>
      <c r="AO60" s="23">
        <v>0</v>
      </c>
      <c r="AP60" s="23">
        <v>0</v>
      </c>
      <c r="AQ60" s="23">
        <v>0</v>
      </c>
      <c r="AR60" s="23">
        <v>0</v>
      </c>
      <c r="AS60" s="23">
        <v>0</v>
      </c>
      <c r="AT60" s="23">
        <v>0</v>
      </c>
      <c r="AU60" s="23">
        <v>0</v>
      </c>
      <c r="AV60" s="23">
        <v>0</v>
      </c>
      <c r="AW60" s="23">
        <v>1</v>
      </c>
      <c r="AX60" s="23">
        <v>0</v>
      </c>
      <c r="AY60" s="23">
        <v>1</v>
      </c>
      <c r="AZ60" s="23">
        <v>0</v>
      </c>
      <c r="BA60" s="29">
        <v>1</v>
      </c>
      <c r="BB60" s="23">
        <v>0</v>
      </c>
      <c r="BC60" s="23">
        <v>1</v>
      </c>
      <c r="BD60" s="23">
        <v>0.9</v>
      </c>
      <c r="BE60" s="23">
        <f t="shared" si="20"/>
        <v>40</v>
      </c>
      <c r="BF60" s="23">
        <v>0</v>
      </c>
      <c r="BG60" s="23">
        <v>0</v>
      </c>
      <c r="BH60" s="23">
        <v>0</v>
      </c>
      <c r="BI60" s="14">
        <v>20</v>
      </c>
      <c r="BJ60" s="14">
        <v>3</v>
      </c>
      <c r="BK60" s="14" t="s">
        <v>9</v>
      </c>
      <c r="BL60" s="23"/>
      <c r="BM60" s="14">
        <v>1</v>
      </c>
      <c r="BN60" s="14"/>
      <c r="BO60" s="14"/>
      <c r="BP60" s="14"/>
      <c r="BQ60" s="13"/>
      <c r="BR60" s="14"/>
      <c r="BS60" s="14"/>
      <c r="BT60" s="13"/>
      <c r="BU60" s="13"/>
      <c r="BV60" s="13"/>
      <c r="BW60" s="39" t="s">
        <v>240</v>
      </c>
      <c r="BX60" s="43" t="s">
        <v>226</v>
      </c>
      <c r="BY60" s="15" t="str">
        <f t="shared" si="21"/>
        <v>Approx 24 (2*SP)</v>
      </c>
      <c r="BZ60" s="51" t="s">
        <v>254</v>
      </c>
    </row>
    <row r="61" spans="1:78" s="63" customFormat="1" ht="26.25" thickBot="1" x14ac:dyDescent="0.25">
      <c r="A61" s="52">
        <v>26</v>
      </c>
      <c r="B61" s="53" t="str">
        <f t="shared" si="11"/>
        <v>EMITTER_26</v>
      </c>
      <c r="C61" s="53">
        <f t="shared" si="16"/>
        <v>130</v>
      </c>
      <c r="D61" s="12">
        <f t="shared" si="12"/>
        <v>26001</v>
      </c>
      <c r="E61" s="54">
        <v>1</v>
      </c>
      <c r="F61" s="55" t="s">
        <v>21</v>
      </c>
      <c r="G61" s="53" t="str">
        <f t="shared" si="17"/>
        <v>Z026Z</v>
      </c>
      <c r="H61" s="55" t="s">
        <v>22</v>
      </c>
      <c r="I61" s="55"/>
      <c r="J61" s="55"/>
      <c r="K61" s="55"/>
      <c r="L61" s="52">
        <v>4900</v>
      </c>
      <c r="M61" s="52">
        <v>4950</v>
      </c>
      <c r="N61" s="53">
        <f t="shared" si="18"/>
        <v>50</v>
      </c>
      <c r="O61" s="29">
        <f t="shared" si="13"/>
        <v>50</v>
      </c>
      <c r="P61" s="62" t="s">
        <v>64</v>
      </c>
      <c r="Q61" s="56" t="s">
        <v>105</v>
      </c>
      <c r="R61" s="114">
        <v>600</v>
      </c>
      <c r="S61" s="102">
        <v>800</v>
      </c>
      <c r="T61" s="55">
        <f t="shared" si="14"/>
        <v>200</v>
      </c>
      <c r="U61" s="56" t="s">
        <v>115</v>
      </c>
      <c r="V61" s="56" t="s">
        <v>120</v>
      </c>
      <c r="W61" s="114">
        <v>3</v>
      </c>
      <c r="X61" s="114">
        <v>4</v>
      </c>
      <c r="Y61" s="55">
        <f t="shared" si="15"/>
        <v>1</v>
      </c>
      <c r="Z61" s="66">
        <v>4</v>
      </c>
      <c r="AA61" s="66">
        <v>5</v>
      </c>
      <c r="AB61" s="49" t="s">
        <v>316</v>
      </c>
      <c r="AC61" s="57">
        <v>0</v>
      </c>
      <c r="AD61" s="58">
        <v>360</v>
      </c>
      <c r="AE61" s="57">
        <v>0</v>
      </c>
      <c r="AF61" s="57">
        <v>0</v>
      </c>
      <c r="AG61" s="52">
        <v>3</v>
      </c>
      <c r="AH61" s="57">
        <v>5</v>
      </c>
      <c r="AI61" s="57">
        <v>0</v>
      </c>
      <c r="AJ61" s="57"/>
      <c r="AK61" s="57">
        <v>0</v>
      </c>
      <c r="AL61" s="52">
        <v>115</v>
      </c>
      <c r="AM61" s="57">
        <v>20</v>
      </c>
      <c r="AN61" s="57">
        <v>0</v>
      </c>
      <c r="AO61" s="57">
        <v>0</v>
      </c>
      <c r="AP61" s="57">
        <v>0</v>
      </c>
      <c r="AQ61" s="57">
        <v>0</v>
      </c>
      <c r="AR61" s="57">
        <v>0</v>
      </c>
      <c r="AS61" s="57">
        <v>0</v>
      </c>
      <c r="AT61" s="57">
        <v>0</v>
      </c>
      <c r="AU61" s="57">
        <v>0</v>
      </c>
      <c r="AV61" s="57">
        <v>0</v>
      </c>
      <c r="AW61" s="57">
        <v>1</v>
      </c>
      <c r="AX61" s="57">
        <v>0</v>
      </c>
      <c r="AY61" s="57">
        <v>1</v>
      </c>
      <c r="AZ61" s="57">
        <v>0</v>
      </c>
      <c r="BA61" s="53">
        <v>1</v>
      </c>
      <c r="BB61" s="57">
        <v>0</v>
      </c>
      <c r="BC61" s="57">
        <v>1</v>
      </c>
      <c r="BD61" s="57">
        <v>0.9</v>
      </c>
      <c r="BE61" s="58">
        <v>20</v>
      </c>
      <c r="BF61" s="57">
        <v>0</v>
      </c>
      <c r="BG61" s="57">
        <v>0</v>
      </c>
      <c r="BH61" s="57">
        <v>0</v>
      </c>
      <c r="BI61" s="52" t="s">
        <v>133</v>
      </c>
      <c r="BJ61" s="52">
        <v>5</v>
      </c>
      <c r="BK61" s="52" t="s">
        <v>25</v>
      </c>
      <c r="BL61" s="65"/>
      <c r="BM61" s="52">
        <v>1</v>
      </c>
      <c r="BN61" s="52"/>
      <c r="BO61" s="52"/>
      <c r="BP61" s="52"/>
      <c r="BQ61" s="55"/>
      <c r="BR61" s="52"/>
      <c r="BS61" s="52"/>
      <c r="BT61" s="55"/>
      <c r="BU61" s="55"/>
      <c r="BV61" s="55"/>
      <c r="BW61" s="56"/>
      <c r="BX61" s="60" t="s">
        <v>226</v>
      </c>
      <c r="BY61" s="56" t="str">
        <f>"Approx "&amp;TEXT((3*AA61),0)&amp;" (3*SP)"</f>
        <v>Approx 15 (3*SP)</v>
      </c>
      <c r="BZ61" s="62" t="s">
        <v>254</v>
      </c>
    </row>
    <row r="62" spans="1:78" s="63" customFormat="1" ht="26.25" thickBot="1" x14ac:dyDescent="0.25">
      <c r="A62" s="52">
        <v>26</v>
      </c>
      <c r="B62" s="53" t="str">
        <f t="shared" si="11"/>
        <v>EMITTER_26</v>
      </c>
      <c r="C62" s="53">
        <f t="shared" si="16"/>
        <v>130</v>
      </c>
      <c r="D62" s="12">
        <f t="shared" si="12"/>
        <v>26011</v>
      </c>
      <c r="E62" s="54">
        <v>11</v>
      </c>
      <c r="F62" s="55" t="s">
        <v>21</v>
      </c>
      <c r="G62" s="53" t="str">
        <f t="shared" si="17"/>
        <v>Z026Z</v>
      </c>
      <c r="H62" s="55" t="s">
        <v>22</v>
      </c>
      <c r="I62" s="55"/>
      <c r="J62" s="55"/>
      <c r="K62" s="55"/>
      <c r="L62" s="52">
        <v>4960</v>
      </c>
      <c r="M62" s="52">
        <v>5010</v>
      </c>
      <c r="N62" s="53">
        <f t="shared" si="18"/>
        <v>50</v>
      </c>
      <c r="O62" s="29">
        <f t="shared" si="13"/>
        <v>50</v>
      </c>
      <c r="P62" s="62" t="s">
        <v>64</v>
      </c>
      <c r="Q62" s="56"/>
      <c r="R62" s="114">
        <v>600</v>
      </c>
      <c r="S62" s="102">
        <v>800</v>
      </c>
      <c r="T62" s="55">
        <f t="shared" si="14"/>
        <v>200</v>
      </c>
      <c r="U62" s="56" t="s">
        <v>115</v>
      </c>
      <c r="V62" s="56" t="s">
        <v>120</v>
      </c>
      <c r="W62" s="114">
        <v>3</v>
      </c>
      <c r="X62" s="114">
        <v>4</v>
      </c>
      <c r="Y62" s="55">
        <f t="shared" si="15"/>
        <v>1</v>
      </c>
      <c r="Z62" s="66">
        <v>4</v>
      </c>
      <c r="AA62" s="66">
        <v>5</v>
      </c>
      <c r="AB62" s="49" t="s">
        <v>316</v>
      </c>
      <c r="AC62" s="57">
        <v>0</v>
      </c>
      <c r="AD62" s="58">
        <v>360</v>
      </c>
      <c r="AE62" s="57">
        <v>0</v>
      </c>
      <c r="AF62" s="57">
        <v>0</v>
      </c>
      <c r="AG62" s="52">
        <v>3</v>
      </c>
      <c r="AH62" s="57">
        <v>5</v>
      </c>
      <c r="AI62" s="57">
        <v>0</v>
      </c>
      <c r="AJ62" s="57"/>
      <c r="AK62" s="57">
        <v>0</v>
      </c>
      <c r="AL62" s="52">
        <v>115</v>
      </c>
      <c r="AM62" s="57">
        <v>20</v>
      </c>
      <c r="AN62" s="57">
        <v>0</v>
      </c>
      <c r="AO62" s="57">
        <v>0</v>
      </c>
      <c r="AP62" s="57">
        <v>0</v>
      </c>
      <c r="AQ62" s="57">
        <v>0</v>
      </c>
      <c r="AR62" s="57">
        <v>0</v>
      </c>
      <c r="AS62" s="57">
        <v>0</v>
      </c>
      <c r="AT62" s="57">
        <v>0</v>
      </c>
      <c r="AU62" s="57">
        <v>0</v>
      </c>
      <c r="AV62" s="57">
        <v>0</v>
      </c>
      <c r="AW62" s="57">
        <v>1</v>
      </c>
      <c r="AX62" s="57">
        <v>0</v>
      </c>
      <c r="AY62" s="57">
        <v>1</v>
      </c>
      <c r="AZ62" s="57">
        <v>0</v>
      </c>
      <c r="BA62" s="53">
        <v>1</v>
      </c>
      <c r="BB62" s="57">
        <v>0</v>
      </c>
      <c r="BC62" s="57">
        <v>1</v>
      </c>
      <c r="BD62" s="57">
        <v>0.9</v>
      </c>
      <c r="BE62" s="58">
        <v>20</v>
      </c>
      <c r="BF62" s="57">
        <v>0</v>
      </c>
      <c r="BG62" s="57">
        <v>0</v>
      </c>
      <c r="BH62" s="57">
        <v>0</v>
      </c>
      <c r="BI62" s="52" t="s">
        <v>133</v>
      </c>
      <c r="BJ62" s="52">
        <v>5</v>
      </c>
      <c r="BK62" s="52" t="s">
        <v>25</v>
      </c>
      <c r="BL62" s="65"/>
      <c r="BM62" s="52">
        <v>1</v>
      </c>
      <c r="BN62" s="52"/>
      <c r="BO62" s="52"/>
      <c r="BP62" s="52"/>
      <c r="BQ62" s="52">
        <v>1</v>
      </c>
      <c r="BR62" s="52"/>
      <c r="BS62" s="52"/>
      <c r="BT62" s="55"/>
      <c r="BU62" s="55"/>
      <c r="BV62" s="55"/>
      <c r="BW62" s="56"/>
      <c r="BX62" s="60" t="s">
        <v>226</v>
      </c>
      <c r="BY62" s="56" t="str">
        <f>"Approx "&amp;TEXT((3*AA62),0)&amp;" (3*SP)"</f>
        <v>Approx 15 (3*SP)</v>
      </c>
      <c r="BZ62" s="62" t="s">
        <v>254</v>
      </c>
    </row>
    <row r="63" spans="1:78" ht="67.5" customHeight="1" thickBot="1" x14ac:dyDescent="0.25">
      <c r="A63" s="29">
        <v>27</v>
      </c>
      <c r="B63" s="29" t="str">
        <f t="shared" si="11"/>
        <v>EMITTER_27</v>
      </c>
      <c r="C63" s="29">
        <f t="shared" si="16"/>
        <v>135</v>
      </c>
      <c r="D63" s="12">
        <f t="shared" si="12"/>
        <v>27003</v>
      </c>
      <c r="E63" s="29">
        <v>3</v>
      </c>
      <c r="F63" s="23" t="s">
        <v>16</v>
      </c>
      <c r="G63" s="14" t="s">
        <v>163</v>
      </c>
      <c r="H63" s="23" t="s">
        <v>17</v>
      </c>
      <c r="I63" s="23"/>
      <c r="J63" s="23"/>
      <c r="K63" s="23"/>
      <c r="L63" s="29">
        <v>700</v>
      </c>
      <c r="M63" s="29">
        <v>700</v>
      </c>
      <c r="N63" s="29">
        <f t="shared" si="18"/>
        <v>0</v>
      </c>
      <c r="O63" s="29">
        <f t="shared" si="13"/>
        <v>0</v>
      </c>
      <c r="P63" s="50" t="s">
        <v>6</v>
      </c>
      <c r="Q63" s="50"/>
      <c r="R63" s="115">
        <v>350</v>
      </c>
      <c r="S63" s="104">
        <v>350</v>
      </c>
      <c r="T63" s="13">
        <f t="shared" si="14"/>
        <v>0</v>
      </c>
      <c r="U63" s="50" t="s">
        <v>6</v>
      </c>
      <c r="V63" s="50"/>
      <c r="W63" s="115">
        <v>0.4</v>
      </c>
      <c r="X63" s="115">
        <v>4</v>
      </c>
      <c r="Y63" s="13">
        <f t="shared" si="15"/>
        <v>3.6</v>
      </c>
      <c r="Z63" s="23">
        <v>0</v>
      </c>
      <c r="AA63" s="23">
        <v>0</v>
      </c>
      <c r="AB63" s="23" t="s">
        <v>12</v>
      </c>
      <c r="AC63" s="23">
        <v>0</v>
      </c>
      <c r="AD63" s="23">
        <v>0</v>
      </c>
      <c r="AE63" s="23">
        <v>0</v>
      </c>
      <c r="AF63" s="23">
        <v>9999</v>
      </c>
      <c r="AG63" s="14">
        <v>2</v>
      </c>
      <c r="AH63" s="23">
        <v>4</v>
      </c>
      <c r="AI63" s="23">
        <v>0</v>
      </c>
      <c r="AJ63" s="23">
        <v>0</v>
      </c>
      <c r="AK63" s="23">
        <v>0</v>
      </c>
      <c r="AL63" s="80">
        <v>100</v>
      </c>
      <c r="AM63" s="23">
        <v>20</v>
      </c>
      <c r="AN63" s="23">
        <v>0</v>
      </c>
      <c r="AO63" s="23">
        <v>0</v>
      </c>
      <c r="AP63" s="23">
        <v>0</v>
      </c>
      <c r="AQ63" s="23">
        <v>0</v>
      </c>
      <c r="AR63" s="23">
        <v>0</v>
      </c>
      <c r="AS63" s="23">
        <v>0</v>
      </c>
      <c r="AT63" s="23">
        <v>0</v>
      </c>
      <c r="AU63" s="23">
        <v>0</v>
      </c>
      <c r="AV63" s="23">
        <v>0</v>
      </c>
      <c r="AW63" s="23">
        <v>1</v>
      </c>
      <c r="AX63" s="23">
        <v>0</v>
      </c>
      <c r="AY63" s="23">
        <v>1</v>
      </c>
      <c r="AZ63" s="23">
        <v>8</v>
      </c>
      <c r="BA63" s="29">
        <v>1</v>
      </c>
      <c r="BB63" s="23">
        <v>0</v>
      </c>
      <c r="BC63" s="23">
        <v>0</v>
      </c>
      <c r="BD63" s="23">
        <v>0.9</v>
      </c>
      <c r="BE63" s="23">
        <f>2*BI63</f>
        <v>30</v>
      </c>
      <c r="BF63" s="23">
        <v>0</v>
      </c>
      <c r="BG63" s="23">
        <v>0</v>
      </c>
      <c r="BH63" s="23">
        <v>0</v>
      </c>
      <c r="BI63" s="14">
        <v>15</v>
      </c>
      <c r="BJ63" s="14">
        <v>5</v>
      </c>
      <c r="BK63" s="14" t="s">
        <v>9</v>
      </c>
      <c r="BL63" s="7"/>
      <c r="BM63" s="14">
        <v>1</v>
      </c>
      <c r="BN63" s="14"/>
      <c r="BO63" s="14"/>
      <c r="BP63" s="14"/>
      <c r="BQ63" s="13"/>
      <c r="BR63" s="14"/>
      <c r="BS63" s="14"/>
      <c r="BT63" s="13"/>
      <c r="BU63" s="23"/>
      <c r="BV63" s="23"/>
      <c r="BW63" s="22" t="s">
        <v>216</v>
      </c>
      <c r="BX63" s="42" t="s">
        <v>226</v>
      </c>
      <c r="BY63" s="44" t="str">
        <f>"Approx "&amp;TEXT((2*AA63),0)&amp;" (2*SP)"</f>
        <v>Approx 0 (2*SP)</v>
      </c>
      <c r="BZ63" s="51" t="s">
        <v>254</v>
      </c>
    </row>
    <row r="64" spans="1:78" s="20" customFormat="1" ht="39" thickBot="1" x14ac:dyDescent="0.25">
      <c r="A64" s="14">
        <v>27</v>
      </c>
      <c r="B64" s="11" t="str">
        <f t="shared" si="11"/>
        <v>EMITTER_27</v>
      </c>
      <c r="C64" s="11">
        <f t="shared" si="16"/>
        <v>135</v>
      </c>
      <c r="D64" s="12">
        <f t="shared" si="12"/>
        <v>27001</v>
      </c>
      <c r="E64" s="11">
        <v>1</v>
      </c>
      <c r="F64" s="21" t="s">
        <v>13</v>
      </c>
      <c r="G64" s="11" t="str">
        <f>"Z0"&amp;TEXT(A64,"0")&amp;"A"</f>
        <v>Z027A</v>
      </c>
      <c r="H64" s="26" t="s">
        <v>68</v>
      </c>
      <c r="I64" s="26"/>
      <c r="J64" s="26"/>
      <c r="K64" s="26"/>
      <c r="L64" s="11">
        <v>5000</v>
      </c>
      <c r="M64" s="11">
        <v>5050</v>
      </c>
      <c r="N64" s="11">
        <f t="shared" si="18"/>
        <v>50</v>
      </c>
      <c r="O64" s="29">
        <f t="shared" si="13"/>
        <v>50</v>
      </c>
      <c r="P64" s="26" t="s">
        <v>6</v>
      </c>
      <c r="Q64" s="22" t="s">
        <v>106</v>
      </c>
      <c r="R64" s="119">
        <v>700</v>
      </c>
      <c r="S64" s="109">
        <v>700</v>
      </c>
      <c r="T64" s="13">
        <f t="shared" si="14"/>
        <v>0</v>
      </c>
      <c r="U64" s="26" t="s">
        <v>6</v>
      </c>
      <c r="V64" s="26"/>
      <c r="W64" s="119">
        <v>1</v>
      </c>
      <c r="X64" s="119">
        <v>4</v>
      </c>
      <c r="Y64" s="13">
        <f t="shared" si="15"/>
        <v>3</v>
      </c>
      <c r="Z64" s="22">
        <v>0.1</v>
      </c>
      <c r="AA64" s="22">
        <v>0.1</v>
      </c>
      <c r="AB64" s="49" t="s">
        <v>316</v>
      </c>
      <c r="AC64" s="21">
        <v>0</v>
      </c>
      <c r="AD64" s="45">
        <v>15</v>
      </c>
      <c r="AE64" s="21">
        <v>0</v>
      </c>
      <c r="AF64" s="21">
        <v>0</v>
      </c>
      <c r="AG64" s="14">
        <v>2</v>
      </c>
      <c r="AH64" s="40">
        <v>5</v>
      </c>
      <c r="AI64" s="21">
        <v>0</v>
      </c>
      <c r="AJ64" s="21">
        <v>0</v>
      </c>
      <c r="AK64" s="21">
        <v>0</v>
      </c>
      <c r="AL64" s="14">
        <v>115</v>
      </c>
      <c r="AM64" s="21">
        <v>20</v>
      </c>
      <c r="AN64" s="21">
        <v>0</v>
      </c>
      <c r="AO64" s="21">
        <v>0</v>
      </c>
      <c r="AP64" s="21">
        <v>0</v>
      </c>
      <c r="AQ64" s="21">
        <v>0</v>
      </c>
      <c r="AR64" s="21">
        <v>0</v>
      </c>
      <c r="AS64" s="40">
        <v>0</v>
      </c>
      <c r="AT64" s="21">
        <v>0</v>
      </c>
      <c r="AU64" s="21">
        <v>0</v>
      </c>
      <c r="AV64" s="21">
        <v>0</v>
      </c>
      <c r="AW64" s="21">
        <v>1</v>
      </c>
      <c r="AX64" s="21">
        <v>0</v>
      </c>
      <c r="AY64" s="21">
        <v>1</v>
      </c>
      <c r="AZ64" s="47">
        <v>0</v>
      </c>
      <c r="BA64" s="11">
        <v>1</v>
      </c>
      <c r="BB64" s="21">
        <v>0</v>
      </c>
      <c r="BC64" s="21">
        <v>0</v>
      </c>
      <c r="BD64" s="21">
        <v>0.9</v>
      </c>
      <c r="BE64" s="21">
        <f>2*BI64</f>
        <v>30</v>
      </c>
      <c r="BF64" s="21">
        <v>0</v>
      </c>
      <c r="BG64" s="21">
        <v>0</v>
      </c>
      <c r="BH64" s="21">
        <v>0</v>
      </c>
      <c r="BI64" s="14">
        <v>15</v>
      </c>
      <c r="BJ64" s="14">
        <v>5</v>
      </c>
      <c r="BK64" s="14" t="s">
        <v>9</v>
      </c>
      <c r="BL64" s="23"/>
      <c r="BM64" s="14">
        <v>1</v>
      </c>
      <c r="BN64" s="14"/>
      <c r="BO64" s="14"/>
      <c r="BP64" s="14"/>
      <c r="BQ64" s="13"/>
      <c r="BR64" s="14"/>
      <c r="BS64" s="14"/>
      <c r="BT64" s="13"/>
      <c r="BU64" s="13"/>
      <c r="BV64" s="13"/>
      <c r="BW64" s="39"/>
      <c r="BX64" s="43" t="s">
        <v>226</v>
      </c>
      <c r="BY64" s="15" t="str">
        <f>"Approx "&amp;TEXT((2*AA64),0)&amp;" (2*SP)"</f>
        <v>Approx 0 (2*SP)</v>
      </c>
      <c r="BZ64" s="51" t="s">
        <v>255</v>
      </c>
    </row>
    <row r="65" spans="1:78" s="20" customFormat="1" ht="13.5" thickBot="1" x14ac:dyDescent="0.25">
      <c r="A65" s="29">
        <v>27</v>
      </c>
      <c r="B65" s="29" t="str">
        <f t="shared" si="11"/>
        <v>EMITTER_27</v>
      </c>
      <c r="C65" s="29">
        <f t="shared" si="16"/>
        <v>135</v>
      </c>
      <c r="D65" s="12">
        <f t="shared" si="12"/>
        <v>27011</v>
      </c>
      <c r="E65" s="29">
        <v>11</v>
      </c>
      <c r="F65" s="23" t="s">
        <v>13</v>
      </c>
      <c r="G65" s="14" t="s">
        <v>161</v>
      </c>
      <c r="H65" s="50" t="s">
        <v>243</v>
      </c>
      <c r="I65" s="50"/>
      <c r="J65" s="50"/>
      <c r="K65" s="50"/>
      <c r="L65" s="29">
        <v>5100</v>
      </c>
      <c r="M65" s="29">
        <v>5150</v>
      </c>
      <c r="N65" s="29">
        <f t="shared" si="18"/>
        <v>50</v>
      </c>
      <c r="O65" s="29">
        <f t="shared" si="13"/>
        <v>50</v>
      </c>
      <c r="P65" s="50" t="s">
        <v>6</v>
      </c>
      <c r="Q65" s="50"/>
      <c r="R65" s="115">
        <v>700</v>
      </c>
      <c r="S65" s="104">
        <v>700</v>
      </c>
      <c r="T65" s="13">
        <f t="shared" si="14"/>
        <v>0</v>
      </c>
      <c r="U65" s="50" t="s">
        <v>6</v>
      </c>
      <c r="V65" s="50"/>
      <c r="W65" s="115">
        <v>1</v>
      </c>
      <c r="X65" s="115">
        <v>4</v>
      </c>
      <c r="Y65" s="13">
        <f t="shared" si="15"/>
        <v>3</v>
      </c>
      <c r="Z65" s="49">
        <v>0.1</v>
      </c>
      <c r="AA65" s="49">
        <v>0.1</v>
      </c>
      <c r="AB65" s="49" t="s">
        <v>316</v>
      </c>
      <c r="AC65" s="23">
        <v>0</v>
      </c>
      <c r="AD65" s="49">
        <v>0</v>
      </c>
      <c r="AE65" s="23">
        <v>0</v>
      </c>
      <c r="AF65" s="23">
        <v>0</v>
      </c>
      <c r="AG65" s="80">
        <v>5</v>
      </c>
      <c r="AH65" s="79">
        <v>2</v>
      </c>
      <c r="AI65" s="23">
        <v>0</v>
      </c>
      <c r="AJ65" s="23">
        <v>0</v>
      </c>
      <c r="AK65" s="23">
        <v>0</v>
      </c>
      <c r="AL65" s="14">
        <v>115</v>
      </c>
      <c r="AM65" s="23">
        <v>20</v>
      </c>
      <c r="AN65" s="23">
        <v>0</v>
      </c>
      <c r="AO65" s="23">
        <v>0</v>
      </c>
      <c r="AP65" s="23">
        <v>0</v>
      </c>
      <c r="AQ65" s="23">
        <v>0</v>
      </c>
      <c r="AR65" s="23">
        <v>0</v>
      </c>
      <c r="AS65" s="47">
        <v>15</v>
      </c>
      <c r="AT65" s="23">
        <v>0</v>
      </c>
      <c r="AU65" s="23">
        <v>0</v>
      </c>
      <c r="AV65" s="23">
        <v>0</v>
      </c>
      <c r="AW65" s="23">
        <v>1</v>
      </c>
      <c r="AX65" s="23">
        <v>0</v>
      </c>
      <c r="AY65" s="23">
        <v>1</v>
      </c>
      <c r="AZ65" s="47">
        <v>0</v>
      </c>
      <c r="BA65" s="29">
        <v>1</v>
      </c>
      <c r="BB65" s="23">
        <v>0</v>
      </c>
      <c r="BC65" s="23">
        <v>0</v>
      </c>
      <c r="BD65" s="47">
        <v>0.9</v>
      </c>
      <c r="BE65" s="23">
        <f>2*BI65</f>
        <v>30</v>
      </c>
      <c r="BF65" s="23">
        <v>0</v>
      </c>
      <c r="BG65" s="23">
        <v>0</v>
      </c>
      <c r="BH65" s="23">
        <v>0</v>
      </c>
      <c r="BI65" s="14">
        <v>15</v>
      </c>
      <c r="BJ65" s="14">
        <v>5</v>
      </c>
      <c r="BK65" s="14" t="s">
        <v>9</v>
      </c>
      <c r="BL65" s="23"/>
      <c r="BM65" s="14">
        <v>1</v>
      </c>
      <c r="BN65" s="14"/>
      <c r="BO65" s="14"/>
      <c r="BP65" s="14"/>
      <c r="BQ65" s="13"/>
      <c r="BR65" s="14"/>
      <c r="BS65" s="14"/>
      <c r="BT65" s="13"/>
      <c r="BU65" s="13"/>
      <c r="BV65" s="13"/>
      <c r="BW65" s="15"/>
      <c r="BX65" s="43" t="s">
        <v>225</v>
      </c>
      <c r="BY65" s="15">
        <v>4</v>
      </c>
      <c r="BZ65" s="51" t="s">
        <v>255</v>
      </c>
    </row>
    <row r="66" spans="1:78" s="20" customFormat="1" ht="13.5" thickBot="1" x14ac:dyDescent="0.25">
      <c r="A66" s="29">
        <v>27</v>
      </c>
      <c r="B66" s="29" t="str">
        <f t="shared" ref="B66:B97" si="22">"EMITTER_"&amp;TEXT(A66,"0")</f>
        <v>EMITTER_27</v>
      </c>
      <c r="C66" s="29">
        <f t="shared" si="16"/>
        <v>135</v>
      </c>
      <c r="D66" s="12">
        <f t="shared" ref="D66:D97" si="23">A66*1000+E66</f>
        <v>27002</v>
      </c>
      <c r="E66" s="29">
        <v>2</v>
      </c>
      <c r="F66" s="23" t="s">
        <v>10</v>
      </c>
      <c r="G66" s="14" t="s">
        <v>162</v>
      </c>
      <c r="H66" s="23" t="s">
        <v>5</v>
      </c>
      <c r="I66" s="23"/>
      <c r="J66" s="23"/>
      <c r="K66" s="23"/>
      <c r="L66" s="29">
        <v>5100</v>
      </c>
      <c r="M66" s="29">
        <v>5150</v>
      </c>
      <c r="N66" s="29">
        <f t="shared" si="18"/>
        <v>50</v>
      </c>
      <c r="O66" s="29">
        <f t="shared" ref="O66:O97" si="24">M66-L66</f>
        <v>50</v>
      </c>
      <c r="P66" s="50" t="s">
        <v>6</v>
      </c>
      <c r="Q66" s="50"/>
      <c r="R66" s="115">
        <v>350</v>
      </c>
      <c r="S66" s="104">
        <v>350</v>
      </c>
      <c r="T66" s="13">
        <f t="shared" ref="T66:T97" si="25">S66-R66</f>
        <v>0</v>
      </c>
      <c r="U66" s="50" t="s">
        <v>6</v>
      </c>
      <c r="V66" s="50"/>
      <c r="W66" s="115">
        <v>0.4</v>
      </c>
      <c r="X66" s="115">
        <v>0.44</v>
      </c>
      <c r="Y66" s="13">
        <f t="shared" ref="Y66:Y97" si="26">X66-W66</f>
        <v>3.999999999999998E-2</v>
      </c>
      <c r="Z66" s="23">
        <v>0</v>
      </c>
      <c r="AA66" s="23">
        <v>0</v>
      </c>
      <c r="AB66" s="23" t="s">
        <v>12</v>
      </c>
      <c r="AC66" s="23">
        <v>0</v>
      </c>
      <c r="AD66" s="23">
        <v>0</v>
      </c>
      <c r="AE66" s="23">
        <v>0</v>
      </c>
      <c r="AF66" s="23">
        <v>9999</v>
      </c>
      <c r="AG66" s="14">
        <v>2</v>
      </c>
      <c r="AH66" s="23">
        <v>3</v>
      </c>
      <c r="AI66" s="23">
        <v>0</v>
      </c>
      <c r="AJ66" s="23">
        <v>0</v>
      </c>
      <c r="AK66" s="23">
        <v>0</v>
      </c>
      <c r="AL66" s="14">
        <v>115</v>
      </c>
      <c r="AM66" s="23">
        <v>20</v>
      </c>
      <c r="AN66" s="23">
        <v>0</v>
      </c>
      <c r="AO66" s="23">
        <v>0</v>
      </c>
      <c r="AP66" s="23">
        <v>0</v>
      </c>
      <c r="AQ66" s="23">
        <v>0</v>
      </c>
      <c r="AR66" s="23">
        <v>0</v>
      </c>
      <c r="AS66" s="23">
        <v>0</v>
      </c>
      <c r="AT66" s="23">
        <v>0</v>
      </c>
      <c r="AU66" s="23">
        <v>0</v>
      </c>
      <c r="AV66" s="23">
        <v>0</v>
      </c>
      <c r="AW66" s="23">
        <v>1</v>
      </c>
      <c r="AX66" s="23">
        <v>0</v>
      </c>
      <c r="AY66" s="23">
        <v>1</v>
      </c>
      <c r="AZ66" s="23">
        <v>8</v>
      </c>
      <c r="BA66" s="29">
        <v>1</v>
      </c>
      <c r="BB66" s="23">
        <v>0</v>
      </c>
      <c r="BC66" s="23">
        <v>0</v>
      </c>
      <c r="BD66" s="23">
        <v>0.9</v>
      </c>
      <c r="BE66" s="23">
        <f>2*BI66</f>
        <v>30</v>
      </c>
      <c r="BF66" s="23">
        <v>0</v>
      </c>
      <c r="BG66" s="23">
        <v>0</v>
      </c>
      <c r="BH66" s="23">
        <v>0</v>
      </c>
      <c r="BI66" s="14">
        <v>15</v>
      </c>
      <c r="BJ66" s="14">
        <v>5</v>
      </c>
      <c r="BK66" s="14" t="s">
        <v>9</v>
      </c>
      <c r="BL66" s="23"/>
      <c r="BM66" s="14">
        <v>1</v>
      </c>
      <c r="BN66" s="14"/>
      <c r="BO66" s="14"/>
      <c r="BP66" s="14"/>
      <c r="BQ66" s="14">
        <v>1</v>
      </c>
      <c r="BR66" s="14"/>
      <c r="BS66" s="14"/>
      <c r="BT66" s="13"/>
      <c r="BU66" s="13"/>
      <c r="BV66" s="13"/>
      <c r="BW66" s="15"/>
      <c r="BX66" s="43" t="s">
        <v>225</v>
      </c>
      <c r="BY66" s="15">
        <v>2</v>
      </c>
      <c r="BZ66" s="51" t="s">
        <v>255</v>
      </c>
    </row>
    <row r="67" spans="1:78" s="75" customFormat="1" ht="26.25" thickBot="1" x14ac:dyDescent="0.25">
      <c r="A67" s="52">
        <v>28</v>
      </c>
      <c r="B67" s="53" t="str">
        <f t="shared" si="22"/>
        <v>EMITTER_28</v>
      </c>
      <c r="C67" s="53">
        <f t="shared" si="16"/>
        <v>140</v>
      </c>
      <c r="D67" s="12">
        <f t="shared" si="23"/>
        <v>28001</v>
      </c>
      <c r="E67" s="54">
        <v>1</v>
      </c>
      <c r="F67" s="55" t="s">
        <v>143</v>
      </c>
      <c r="G67" s="53" t="str">
        <f t="shared" ref="G67:G74" si="27">"Z0"&amp;TEXT(A67,"0")&amp;"Z"</f>
        <v>Z028Z</v>
      </c>
      <c r="H67" s="55" t="s">
        <v>28</v>
      </c>
      <c r="I67" s="55"/>
      <c r="J67" s="55"/>
      <c r="K67" s="55"/>
      <c r="L67" s="52">
        <v>2000</v>
      </c>
      <c r="M67" s="52">
        <v>2220</v>
      </c>
      <c r="N67" s="53">
        <f t="shared" si="18"/>
        <v>220</v>
      </c>
      <c r="O67" s="29">
        <f t="shared" si="24"/>
        <v>220</v>
      </c>
      <c r="P67" s="56" t="s">
        <v>6</v>
      </c>
      <c r="Q67" s="56"/>
      <c r="R67" s="114">
        <v>2000</v>
      </c>
      <c r="S67" s="102">
        <v>2200</v>
      </c>
      <c r="T67" s="55">
        <f t="shared" si="25"/>
        <v>200</v>
      </c>
      <c r="U67" s="56" t="s">
        <v>6</v>
      </c>
      <c r="V67" s="56"/>
      <c r="W67" s="114">
        <v>3</v>
      </c>
      <c r="X67" s="114">
        <v>4</v>
      </c>
      <c r="Y67" s="55">
        <f t="shared" si="26"/>
        <v>1</v>
      </c>
      <c r="Z67" s="66">
        <v>4</v>
      </c>
      <c r="AA67" s="66">
        <v>11</v>
      </c>
      <c r="AB67" s="49" t="s">
        <v>316</v>
      </c>
      <c r="AC67" s="57">
        <v>0</v>
      </c>
      <c r="AD67" s="59">
        <v>0</v>
      </c>
      <c r="AE67" s="57">
        <v>0</v>
      </c>
      <c r="AF67" s="57">
        <v>0</v>
      </c>
      <c r="AG67" s="52">
        <v>4</v>
      </c>
      <c r="AH67" s="58">
        <v>1</v>
      </c>
      <c r="AI67" s="57">
        <v>0</v>
      </c>
      <c r="AJ67" s="57">
        <v>0</v>
      </c>
      <c r="AK67" s="57">
        <v>0</v>
      </c>
      <c r="AL67" s="52">
        <v>90</v>
      </c>
      <c r="AM67" s="57">
        <v>25</v>
      </c>
      <c r="AN67" s="57">
        <v>0</v>
      </c>
      <c r="AO67" s="57">
        <v>0</v>
      </c>
      <c r="AP67" s="57">
        <v>0</v>
      </c>
      <c r="AQ67" s="57">
        <v>0</v>
      </c>
      <c r="AR67" s="57">
        <v>0</v>
      </c>
      <c r="AS67" s="58">
        <v>60</v>
      </c>
      <c r="AT67" s="57">
        <v>0</v>
      </c>
      <c r="AU67" s="57">
        <v>0</v>
      </c>
      <c r="AV67" s="57">
        <v>0</v>
      </c>
      <c r="AW67" s="57">
        <v>1</v>
      </c>
      <c r="AX67" s="57">
        <v>0</v>
      </c>
      <c r="AY67" s="57">
        <v>1</v>
      </c>
      <c r="AZ67" s="57">
        <v>0</v>
      </c>
      <c r="BA67" s="53">
        <v>1</v>
      </c>
      <c r="BB67" s="57">
        <v>0</v>
      </c>
      <c r="BC67" s="57">
        <v>0</v>
      </c>
      <c r="BD67" s="57">
        <v>0.9</v>
      </c>
      <c r="BE67" s="58">
        <v>20</v>
      </c>
      <c r="BF67" s="57">
        <v>0</v>
      </c>
      <c r="BG67" s="57">
        <v>0</v>
      </c>
      <c r="BH67" s="57">
        <v>0</v>
      </c>
      <c r="BI67" s="52" t="s">
        <v>133</v>
      </c>
      <c r="BJ67" s="52">
        <v>4</v>
      </c>
      <c r="BK67" s="52" t="s">
        <v>25</v>
      </c>
      <c r="BL67" s="65"/>
      <c r="BM67" s="52">
        <v>1</v>
      </c>
      <c r="BN67" s="52"/>
      <c r="BO67" s="52"/>
      <c r="BP67" s="52"/>
      <c r="BQ67" s="55"/>
      <c r="BR67" s="52"/>
      <c r="BS67" s="52"/>
      <c r="BT67" s="55"/>
      <c r="BU67" s="55"/>
      <c r="BV67" s="55"/>
      <c r="BW67" s="56"/>
      <c r="BX67" s="60" t="s">
        <v>226</v>
      </c>
      <c r="BY67" s="56" t="str">
        <f>"Approx "&amp;TEXT((3*AA67),0)&amp;" (3*SP)"</f>
        <v>Approx 33 (3*SP)</v>
      </c>
      <c r="BZ67" s="62" t="s">
        <v>254</v>
      </c>
    </row>
    <row r="68" spans="1:78" s="30" customFormat="1" ht="26.25" thickBot="1" x14ac:dyDescent="0.25">
      <c r="A68" s="14">
        <v>29</v>
      </c>
      <c r="B68" s="29" t="str">
        <f t="shared" si="22"/>
        <v>EMITTER_29</v>
      </c>
      <c r="C68" s="29">
        <f t="shared" ref="C68:C99" si="28">5*A68</f>
        <v>145</v>
      </c>
      <c r="D68" s="12">
        <f t="shared" si="23"/>
        <v>29001</v>
      </c>
      <c r="E68" s="12">
        <v>1</v>
      </c>
      <c r="F68" s="13" t="s">
        <v>81</v>
      </c>
      <c r="G68" s="29" t="str">
        <f t="shared" si="27"/>
        <v>Z029Z</v>
      </c>
      <c r="H68" s="13" t="s">
        <v>28</v>
      </c>
      <c r="I68" s="13"/>
      <c r="J68" s="13"/>
      <c r="K68" s="13"/>
      <c r="L68" s="14">
        <v>6700</v>
      </c>
      <c r="M68" s="14">
        <v>6800</v>
      </c>
      <c r="N68" s="29">
        <f t="shared" si="18"/>
        <v>100</v>
      </c>
      <c r="O68" s="29">
        <f t="shared" si="24"/>
        <v>100</v>
      </c>
      <c r="P68" s="15" t="s">
        <v>6</v>
      </c>
      <c r="Q68" s="15"/>
      <c r="R68" s="113">
        <v>1150</v>
      </c>
      <c r="S68" s="101">
        <v>1250</v>
      </c>
      <c r="T68" s="13">
        <f t="shared" si="25"/>
        <v>100</v>
      </c>
      <c r="U68" s="51" t="s">
        <v>11</v>
      </c>
      <c r="V68" s="15" t="s">
        <v>121</v>
      </c>
      <c r="W68" s="113">
        <v>2</v>
      </c>
      <c r="X68" s="113">
        <v>4</v>
      </c>
      <c r="Y68" s="13">
        <f t="shared" si="26"/>
        <v>2</v>
      </c>
      <c r="Z68" s="79">
        <v>2.5</v>
      </c>
      <c r="AA68" s="79">
        <v>2.5</v>
      </c>
      <c r="AB68" s="51" t="s">
        <v>326</v>
      </c>
      <c r="AC68" s="23">
        <v>100</v>
      </c>
      <c r="AD68" s="23">
        <v>60</v>
      </c>
      <c r="AE68" s="23">
        <v>0</v>
      </c>
      <c r="AF68" s="23">
        <v>0</v>
      </c>
      <c r="AG68" s="14">
        <v>5</v>
      </c>
      <c r="AH68" s="47">
        <v>1</v>
      </c>
      <c r="AI68" s="47">
        <v>0</v>
      </c>
      <c r="AJ68" s="49">
        <v>12</v>
      </c>
      <c r="AK68" s="23">
        <v>0</v>
      </c>
      <c r="AL68" s="80">
        <v>100</v>
      </c>
      <c r="AM68" s="23">
        <v>5</v>
      </c>
      <c r="AN68" s="23">
        <v>0</v>
      </c>
      <c r="AO68" s="23">
        <v>0</v>
      </c>
      <c r="AP68" s="23">
        <v>0</v>
      </c>
      <c r="AQ68" s="23">
        <v>0</v>
      </c>
      <c r="AR68" s="47">
        <v>0</v>
      </c>
      <c r="AS68" s="47">
        <v>20</v>
      </c>
      <c r="AT68" s="23">
        <v>0</v>
      </c>
      <c r="AU68" s="23">
        <v>0</v>
      </c>
      <c r="AV68" s="23">
        <v>0</v>
      </c>
      <c r="AW68" s="23">
        <v>1</v>
      </c>
      <c r="AX68" s="23">
        <v>0</v>
      </c>
      <c r="AY68" s="23">
        <v>1</v>
      </c>
      <c r="AZ68" s="13">
        <v>7</v>
      </c>
      <c r="BA68" s="14">
        <v>1</v>
      </c>
      <c r="BB68" s="23">
        <v>0</v>
      </c>
      <c r="BC68" s="23">
        <v>0</v>
      </c>
      <c r="BD68" s="23">
        <v>0.9</v>
      </c>
      <c r="BE68" s="47">
        <v>20</v>
      </c>
      <c r="BF68" s="85">
        <v>0</v>
      </c>
      <c r="BG68" s="47">
        <v>1</v>
      </c>
      <c r="BH68" s="23">
        <v>0</v>
      </c>
      <c r="BI68" s="14" t="s">
        <v>133</v>
      </c>
      <c r="BJ68" s="14">
        <v>5</v>
      </c>
      <c r="BK68" s="14" t="s">
        <v>25</v>
      </c>
      <c r="BL68" s="23"/>
      <c r="BM68" s="14"/>
      <c r="BN68" s="14"/>
      <c r="BO68" s="14">
        <v>1</v>
      </c>
      <c r="BP68" s="14"/>
      <c r="BQ68" s="13"/>
      <c r="BR68" s="14">
        <v>1</v>
      </c>
      <c r="BS68" s="14"/>
      <c r="BT68" s="13"/>
      <c r="BU68" s="23"/>
      <c r="BV68" s="23"/>
      <c r="BW68" s="15"/>
      <c r="BX68" s="43" t="s">
        <v>226</v>
      </c>
      <c r="BY68" s="15" t="str">
        <f>"Approx "&amp;TEXT((3*AA68),0)&amp;" (3*SP)"</f>
        <v>Approx 8 (3*SP)</v>
      </c>
      <c r="BZ68" s="51" t="s">
        <v>254</v>
      </c>
    </row>
    <row r="69" spans="1:78" s="75" customFormat="1" ht="26.25" thickBot="1" x14ac:dyDescent="0.25">
      <c r="A69" s="53">
        <v>30</v>
      </c>
      <c r="B69" s="53" t="str">
        <f t="shared" si="22"/>
        <v>EMITTER_30</v>
      </c>
      <c r="C69" s="53">
        <f t="shared" si="28"/>
        <v>150</v>
      </c>
      <c r="D69" s="12">
        <f t="shared" si="23"/>
        <v>30001</v>
      </c>
      <c r="E69" s="53">
        <v>1</v>
      </c>
      <c r="F69" s="57" t="s">
        <v>62</v>
      </c>
      <c r="G69" s="76" t="str">
        <f t="shared" si="27"/>
        <v>Z030Z</v>
      </c>
      <c r="H69" s="57" t="s">
        <v>24</v>
      </c>
      <c r="I69" s="57"/>
      <c r="J69" s="57"/>
      <c r="K69" s="57"/>
      <c r="L69" s="53">
        <v>4600</v>
      </c>
      <c r="M69" s="53">
        <v>4700</v>
      </c>
      <c r="N69" s="53">
        <f t="shared" si="18"/>
        <v>100</v>
      </c>
      <c r="O69" s="29">
        <f t="shared" si="24"/>
        <v>100</v>
      </c>
      <c r="P69" s="56" t="s">
        <v>63</v>
      </c>
      <c r="Q69" s="56"/>
      <c r="R69" s="118">
        <v>1200</v>
      </c>
      <c r="S69" s="107">
        <v>1300</v>
      </c>
      <c r="T69" s="55">
        <f t="shared" si="25"/>
        <v>100</v>
      </c>
      <c r="U69" s="61" t="s">
        <v>6</v>
      </c>
      <c r="V69" s="61"/>
      <c r="W69" s="118">
        <v>3</v>
      </c>
      <c r="X69" s="118">
        <v>5</v>
      </c>
      <c r="Y69" s="55">
        <f t="shared" si="26"/>
        <v>2</v>
      </c>
      <c r="Z69" s="57">
        <v>9</v>
      </c>
      <c r="AA69" s="57">
        <v>10</v>
      </c>
      <c r="AB69" s="59" t="s">
        <v>316</v>
      </c>
      <c r="AC69" s="57">
        <v>0</v>
      </c>
      <c r="AD69" s="58">
        <v>360</v>
      </c>
      <c r="AE69" s="57">
        <v>0</v>
      </c>
      <c r="AF69" s="57">
        <v>0</v>
      </c>
      <c r="AG69" s="52">
        <v>6</v>
      </c>
      <c r="AH69" s="57">
        <v>4</v>
      </c>
      <c r="AI69" s="57">
        <v>0</v>
      </c>
      <c r="AJ69" s="57">
        <v>0</v>
      </c>
      <c r="AK69" s="57">
        <v>0</v>
      </c>
      <c r="AL69" s="52">
        <v>110</v>
      </c>
      <c r="AM69" s="57">
        <v>20</v>
      </c>
      <c r="AN69" s="57">
        <v>0</v>
      </c>
      <c r="AO69" s="57">
        <v>0</v>
      </c>
      <c r="AP69" s="57">
        <v>0</v>
      </c>
      <c r="AQ69" s="57">
        <v>0</v>
      </c>
      <c r="AR69" s="57">
        <v>0</v>
      </c>
      <c r="AS69" s="57">
        <v>0</v>
      </c>
      <c r="AT69" s="57">
        <v>0</v>
      </c>
      <c r="AU69" s="57">
        <v>0</v>
      </c>
      <c r="AV69" s="57">
        <v>0</v>
      </c>
      <c r="AW69" s="57">
        <v>1</v>
      </c>
      <c r="AX69" s="57">
        <v>0</v>
      </c>
      <c r="AY69" s="57">
        <v>1</v>
      </c>
      <c r="AZ69" s="57">
        <v>0</v>
      </c>
      <c r="BA69" s="53">
        <v>1</v>
      </c>
      <c r="BB69" s="57">
        <v>0</v>
      </c>
      <c r="BC69" s="57">
        <v>0</v>
      </c>
      <c r="BD69" s="57">
        <v>0.9</v>
      </c>
      <c r="BE69" s="57">
        <f>2*BI69</f>
        <v>24</v>
      </c>
      <c r="BF69" s="57">
        <v>0</v>
      </c>
      <c r="BG69" s="57">
        <v>0</v>
      </c>
      <c r="BH69" s="57">
        <v>0</v>
      </c>
      <c r="BI69" s="52">
        <v>12</v>
      </c>
      <c r="BJ69" s="52">
        <v>6</v>
      </c>
      <c r="BK69" s="52" t="s">
        <v>9</v>
      </c>
      <c r="BL69" s="65"/>
      <c r="BM69" s="52">
        <v>1</v>
      </c>
      <c r="BN69" s="52"/>
      <c r="BO69" s="52"/>
      <c r="BP69" s="52"/>
      <c r="BQ69" s="55"/>
      <c r="BR69" s="52"/>
      <c r="BS69" s="52"/>
      <c r="BT69" s="55"/>
      <c r="BU69" s="55"/>
      <c r="BV69" s="55"/>
      <c r="BW69" s="56"/>
      <c r="BX69" s="60" t="s">
        <v>226</v>
      </c>
      <c r="BY69" s="56" t="str">
        <f>"Approx "&amp;TEXT((2*AA69),0)&amp;" (2*SP)"</f>
        <v>Approx 20 (2*SP)</v>
      </c>
      <c r="BZ69" s="62" t="s">
        <v>254</v>
      </c>
    </row>
    <row r="70" spans="1:78" s="75" customFormat="1" ht="26.25" thickBot="1" x14ac:dyDescent="0.25">
      <c r="A70" s="53">
        <v>30</v>
      </c>
      <c r="B70" s="53" t="str">
        <f t="shared" si="22"/>
        <v>EMITTER_30</v>
      </c>
      <c r="C70" s="53">
        <f t="shared" si="28"/>
        <v>150</v>
      </c>
      <c r="D70" s="12">
        <f t="shared" si="23"/>
        <v>30002</v>
      </c>
      <c r="E70" s="76">
        <v>2</v>
      </c>
      <c r="F70" s="57" t="s">
        <v>62</v>
      </c>
      <c r="G70" s="76" t="str">
        <f t="shared" si="27"/>
        <v>Z030Z</v>
      </c>
      <c r="H70" s="57" t="s">
        <v>24</v>
      </c>
      <c r="I70" s="57"/>
      <c r="J70" s="57"/>
      <c r="K70" s="57"/>
      <c r="L70" s="53">
        <v>4600</v>
      </c>
      <c r="M70" s="53">
        <v>4700</v>
      </c>
      <c r="N70" s="53">
        <f t="shared" si="18"/>
        <v>100</v>
      </c>
      <c r="O70" s="29">
        <f t="shared" si="24"/>
        <v>100</v>
      </c>
      <c r="P70" s="56" t="s">
        <v>6</v>
      </c>
      <c r="Q70" s="56"/>
      <c r="R70" s="118">
        <v>1400</v>
      </c>
      <c r="S70" s="110">
        <v>1449</v>
      </c>
      <c r="T70" s="55">
        <f t="shared" si="25"/>
        <v>49</v>
      </c>
      <c r="U70" s="62" t="s">
        <v>31</v>
      </c>
      <c r="V70" s="56" t="s">
        <v>144</v>
      </c>
      <c r="W70" s="118">
        <v>3</v>
      </c>
      <c r="X70" s="118">
        <v>5</v>
      </c>
      <c r="Y70" s="55">
        <f t="shared" si="26"/>
        <v>2</v>
      </c>
      <c r="Z70" s="57">
        <v>9</v>
      </c>
      <c r="AA70" s="57">
        <v>10</v>
      </c>
      <c r="AB70" s="59" t="s">
        <v>316</v>
      </c>
      <c r="AC70" s="57">
        <v>0</v>
      </c>
      <c r="AD70" s="58">
        <v>360</v>
      </c>
      <c r="AE70" s="57">
        <v>0</v>
      </c>
      <c r="AF70" s="57">
        <v>0</v>
      </c>
      <c r="AG70" s="52">
        <v>6</v>
      </c>
      <c r="AH70" s="57">
        <v>4</v>
      </c>
      <c r="AI70" s="57">
        <v>0</v>
      </c>
      <c r="AJ70" s="57">
        <v>0</v>
      </c>
      <c r="AK70" s="57">
        <v>0</v>
      </c>
      <c r="AL70" s="52">
        <v>110</v>
      </c>
      <c r="AM70" s="57">
        <v>20</v>
      </c>
      <c r="AN70" s="57">
        <v>0</v>
      </c>
      <c r="AO70" s="57">
        <v>0</v>
      </c>
      <c r="AP70" s="57">
        <v>0</v>
      </c>
      <c r="AQ70" s="57">
        <v>0</v>
      </c>
      <c r="AR70" s="57">
        <v>0</v>
      </c>
      <c r="AS70" s="57">
        <v>0</v>
      </c>
      <c r="AT70" s="57">
        <v>0</v>
      </c>
      <c r="AU70" s="57">
        <v>0</v>
      </c>
      <c r="AV70" s="57">
        <v>0</v>
      </c>
      <c r="AW70" s="57">
        <v>1</v>
      </c>
      <c r="AX70" s="57">
        <v>0</v>
      </c>
      <c r="AY70" s="57">
        <v>1</v>
      </c>
      <c r="AZ70" s="57">
        <v>0</v>
      </c>
      <c r="BA70" s="53">
        <v>1</v>
      </c>
      <c r="BB70" s="57">
        <v>0</v>
      </c>
      <c r="BC70" s="57">
        <v>0</v>
      </c>
      <c r="BD70" s="57">
        <v>0.9</v>
      </c>
      <c r="BE70" s="57">
        <f>2*BI70</f>
        <v>24</v>
      </c>
      <c r="BF70" s="57">
        <v>0</v>
      </c>
      <c r="BG70" s="57">
        <v>0</v>
      </c>
      <c r="BH70" s="57">
        <v>0</v>
      </c>
      <c r="BI70" s="52">
        <v>12</v>
      </c>
      <c r="BJ70" s="52">
        <v>6</v>
      </c>
      <c r="BK70" s="52" t="s">
        <v>9</v>
      </c>
      <c r="BL70" s="65"/>
      <c r="BM70" s="52"/>
      <c r="BN70" s="52">
        <v>1</v>
      </c>
      <c r="BO70" s="52"/>
      <c r="BP70" s="52"/>
      <c r="BQ70" s="55"/>
      <c r="BR70" s="52">
        <v>1</v>
      </c>
      <c r="BS70" s="52"/>
      <c r="BT70" s="55"/>
      <c r="BU70" s="66"/>
      <c r="BV70" s="66"/>
      <c r="BW70" s="56"/>
      <c r="BX70" s="60" t="s">
        <v>226</v>
      </c>
      <c r="BY70" s="56" t="str">
        <f>"Approx "&amp;TEXT((2*AA70),0)&amp;" (2*SP)"</f>
        <v>Approx 20 (2*SP)</v>
      </c>
      <c r="BZ70" s="62" t="s">
        <v>254</v>
      </c>
    </row>
    <row r="71" spans="1:78" s="30" customFormat="1" ht="26.25" thickBot="1" x14ac:dyDescent="0.25">
      <c r="A71" s="14">
        <v>31</v>
      </c>
      <c r="B71" s="29" t="str">
        <f t="shared" si="22"/>
        <v>EMITTER_31</v>
      </c>
      <c r="C71" s="29">
        <f t="shared" si="28"/>
        <v>155</v>
      </c>
      <c r="D71" s="12">
        <f t="shared" si="23"/>
        <v>31001</v>
      </c>
      <c r="E71" s="29">
        <v>1</v>
      </c>
      <c r="F71" s="23" t="s">
        <v>104</v>
      </c>
      <c r="G71" s="82" t="str">
        <f t="shared" si="27"/>
        <v>Z031Z</v>
      </c>
      <c r="H71" s="13" t="s">
        <v>24</v>
      </c>
      <c r="I71" s="13"/>
      <c r="J71" s="13"/>
      <c r="K71" s="13"/>
      <c r="L71" s="29">
        <v>5000</v>
      </c>
      <c r="M71" s="29">
        <v>5050</v>
      </c>
      <c r="N71" s="29">
        <f t="shared" si="18"/>
        <v>50</v>
      </c>
      <c r="O71" s="29">
        <f t="shared" si="24"/>
        <v>50</v>
      </c>
      <c r="P71" s="51" t="s">
        <v>83</v>
      </c>
      <c r="Q71" s="15" t="s">
        <v>212</v>
      </c>
      <c r="R71" s="113">
        <v>1980</v>
      </c>
      <c r="S71" s="104">
        <v>2275</v>
      </c>
      <c r="T71" s="13">
        <f t="shared" si="25"/>
        <v>295</v>
      </c>
      <c r="U71" s="15" t="s">
        <v>11</v>
      </c>
      <c r="V71" s="39" t="s">
        <v>269</v>
      </c>
      <c r="W71" s="116">
        <v>30</v>
      </c>
      <c r="X71" s="116">
        <v>33</v>
      </c>
      <c r="Y71" s="13">
        <f t="shared" si="26"/>
        <v>3</v>
      </c>
      <c r="Z71" s="13">
        <v>14</v>
      </c>
      <c r="AA71" s="13">
        <v>14</v>
      </c>
      <c r="AB71" s="59" t="s">
        <v>316</v>
      </c>
      <c r="AC71" s="23">
        <v>0</v>
      </c>
      <c r="AD71" s="47">
        <v>360</v>
      </c>
      <c r="AE71" s="23">
        <v>0</v>
      </c>
      <c r="AF71" s="23">
        <v>0</v>
      </c>
      <c r="AG71" s="14">
        <v>4</v>
      </c>
      <c r="AH71" s="23">
        <v>6</v>
      </c>
      <c r="AI71" s="23">
        <v>0</v>
      </c>
      <c r="AJ71" s="23">
        <v>0</v>
      </c>
      <c r="AK71" s="23">
        <v>15</v>
      </c>
      <c r="AL71" s="14">
        <v>100</v>
      </c>
      <c r="AM71" s="23">
        <v>20</v>
      </c>
      <c r="AN71" s="23">
        <v>0</v>
      </c>
      <c r="AO71" s="23">
        <v>0</v>
      </c>
      <c r="AP71" s="23">
        <v>0</v>
      </c>
      <c r="AQ71" s="23">
        <v>0</v>
      </c>
      <c r="AR71" s="23">
        <v>0</v>
      </c>
      <c r="AS71" s="23">
        <v>0</v>
      </c>
      <c r="AT71" s="23">
        <v>0</v>
      </c>
      <c r="AU71" s="23">
        <v>0</v>
      </c>
      <c r="AV71" s="23">
        <v>0</v>
      </c>
      <c r="AW71" s="23">
        <v>1</v>
      </c>
      <c r="AX71" s="23">
        <v>0</v>
      </c>
      <c r="AY71" s="23">
        <v>1</v>
      </c>
      <c r="AZ71" s="23">
        <v>0</v>
      </c>
      <c r="BA71" s="29">
        <v>1</v>
      </c>
      <c r="BB71" s="23">
        <v>0</v>
      </c>
      <c r="BC71" s="23">
        <v>0</v>
      </c>
      <c r="BD71" s="23">
        <v>0.9</v>
      </c>
      <c r="BE71" s="47">
        <v>20</v>
      </c>
      <c r="BF71" s="23">
        <v>0</v>
      </c>
      <c r="BG71" s="23">
        <v>0</v>
      </c>
      <c r="BH71" s="23">
        <v>0</v>
      </c>
      <c r="BI71" s="14" t="s">
        <v>133</v>
      </c>
      <c r="BJ71" s="14">
        <v>4</v>
      </c>
      <c r="BK71" s="14" t="s">
        <v>9</v>
      </c>
      <c r="BL71" s="23"/>
      <c r="BM71" s="14"/>
      <c r="BN71" s="14"/>
      <c r="BO71" s="14">
        <v>1</v>
      </c>
      <c r="BP71" s="14"/>
      <c r="BQ71" s="13"/>
      <c r="BR71" s="14"/>
      <c r="BS71" s="14"/>
      <c r="BT71" s="14">
        <v>1</v>
      </c>
      <c r="BU71" s="13"/>
      <c r="BV71" s="13"/>
      <c r="BW71" s="15" t="s">
        <v>145</v>
      </c>
      <c r="BX71" s="43" t="s">
        <v>226</v>
      </c>
      <c r="BY71" s="15" t="str">
        <f>"Approx "&amp;TEXT((2*AA71),0)&amp;" (2*SP)"</f>
        <v>Approx 28 (2*SP)</v>
      </c>
      <c r="BZ71" s="51" t="s">
        <v>254</v>
      </c>
    </row>
    <row r="72" spans="1:78" s="30" customFormat="1" ht="26.25" thickBot="1" x14ac:dyDescent="0.25">
      <c r="A72" s="14">
        <v>31</v>
      </c>
      <c r="B72" s="29" t="str">
        <f t="shared" si="22"/>
        <v>EMITTER_31</v>
      </c>
      <c r="C72" s="29">
        <f t="shared" si="28"/>
        <v>155</v>
      </c>
      <c r="D72" s="12">
        <f t="shared" si="23"/>
        <v>31002</v>
      </c>
      <c r="E72" s="29">
        <v>2</v>
      </c>
      <c r="F72" s="23" t="s">
        <v>104</v>
      </c>
      <c r="G72" s="82" t="str">
        <f t="shared" si="27"/>
        <v>Z031Z</v>
      </c>
      <c r="H72" s="13" t="s">
        <v>24</v>
      </c>
      <c r="I72" s="13"/>
      <c r="J72" s="13"/>
      <c r="K72" s="13"/>
      <c r="L72" s="29">
        <v>5100</v>
      </c>
      <c r="M72" s="29">
        <v>5150</v>
      </c>
      <c r="N72" s="29">
        <f t="shared" si="18"/>
        <v>50</v>
      </c>
      <c r="O72" s="29">
        <f t="shared" si="24"/>
        <v>50</v>
      </c>
      <c r="P72" s="51" t="s">
        <v>32</v>
      </c>
      <c r="Q72" s="15" t="s">
        <v>206</v>
      </c>
      <c r="R72" s="113">
        <v>1980</v>
      </c>
      <c r="S72" s="104">
        <v>2275</v>
      </c>
      <c r="T72" s="13">
        <f t="shared" si="25"/>
        <v>295</v>
      </c>
      <c r="U72" s="15" t="s">
        <v>11</v>
      </c>
      <c r="V72" s="39" t="s">
        <v>269</v>
      </c>
      <c r="W72" s="116">
        <v>30</v>
      </c>
      <c r="X72" s="116">
        <v>7</v>
      </c>
      <c r="Y72" s="13">
        <f t="shared" si="26"/>
        <v>-23</v>
      </c>
      <c r="Z72" s="13">
        <v>14</v>
      </c>
      <c r="AA72" s="13">
        <v>14</v>
      </c>
      <c r="AB72" s="59" t="s">
        <v>316</v>
      </c>
      <c r="AC72" s="23">
        <v>0</v>
      </c>
      <c r="AD72" s="47">
        <v>360</v>
      </c>
      <c r="AE72" s="23">
        <v>0</v>
      </c>
      <c r="AF72" s="23">
        <v>0</v>
      </c>
      <c r="AG72" s="14">
        <v>4</v>
      </c>
      <c r="AH72" s="23">
        <v>6</v>
      </c>
      <c r="AI72" s="23">
        <v>0</v>
      </c>
      <c r="AJ72" s="23">
        <v>0</v>
      </c>
      <c r="AK72" s="23">
        <v>10</v>
      </c>
      <c r="AL72" s="14">
        <v>100</v>
      </c>
      <c r="AM72" s="23">
        <v>20</v>
      </c>
      <c r="AN72" s="23">
        <v>0</v>
      </c>
      <c r="AO72" s="23">
        <v>0</v>
      </c>
      <c r="AP72" s="23">
        <v>0</v>
      </c>
      <c r="AQ72" s="23">
        <v>0</v>
      </c>
      <c r="AR72" s="23">
        <v>0</v>
      </c>
      <c r="AS72" s="23">
        <v>0</v>
      </c>
      <c r="AT72" s="23">
        <v>0</v>
      </c>
      <c r="AU72" s="23">
        <v>0</v>
      </c>
      <c r="AV72" s="23">
        <v>0</v>
      </c>
      <c r="AW72" s="23">
        <v>1</v>
      </c>
      <c r="AX72" s="23">
        <v>0</v>
      </c>
      <c r="AY72" s="23">
        <v>1</v>
      </c>
      <c r="AZ72" s="23">
        <v>0</v>
      </c>
      <c r="BA72" s="29">
        <v>1</v>
      </c>
      <c r="BB72" s="23">
        <v>0</v>
      </c>
      <c r="BC72" s="23">
        <v>0</v>
      </c>
      <c r="BD72" s="23">
        <v>0.9</v>
      </c>
      <c r="BE72" s="47">
        <v>20</v>
      </c>
      <c r="BF72" s="23">
        <v>0</v>
      </c>
      <c r="BG72" s="23">
        <v>0</v>
      </c>
      <c r="BH72" s="23">
        <v>0</v>
      </c>
      <c r="BI72" s="14" t="s">
        <v>133</v>
      </c>
      <c r="BJ72" s="14">
        <v>4</v>
      </c>
      <c r="BK72" s="14" t="s">
        <v>9</v>
      </c>
      <c r="BL72" s="23"/>
      <c r="BM72" s="14">
        <v>1</v>
      </c>
      <c r="BN72" s="14"/>
      <c r="BO72" s="14"/>
      <c r="BP72" s="14"/>
      <c r="BQ72" s="13"/>
      <c r="BR72" s="14"/>
      <c r="BS72" s="14"/>
      <c r="BT72" s="13"/>
      <c r="BU72" s="13"/>
      <c r="BV72" s="13"/>
      <c r="BW72" s="15" t="s">
        <v>145</v>
      </c>
      <c r="BX72" s="43" t="s">
        <v>226</v>
      </c>
      <c r="BY72" s="15" t="str">
        <f>"Approx "&amp;TEXT((2*AA72),0)&amp;" (2*SP)"</f>
        <v>Approx 28 (2*SP)</v>
      </c>
      <c r="BZ72" s="51" t="s">
        <v>254</v>
      </c>
    </row>
    <row r="73" spans="1:78" s="75" customFormat="1" ht="26.25" thickBot="1" x14ac:dyDescent="0.25">
      <c r="A73" s="52">
        <v>32</v>
      </c>
      <c r="B73" s="53" t="str">
        <f t="shared" si="22"/>
        <v>EMITTER_32</v>
      </c>
      <c r="C73" s="53">
        <f t="shared" si="28"/>
        <v>160</v>
      </c>
      <c r="D73" s="12">
        <f t="shared" si="23"/>
        <v>32001</v>
      </c>
      <c r="E73" s="54">
        <v>1</v>
      </c>
      <c r="F73" s="55" t="s">
        <v>53</v>
      </c>
      <c r="G73" s="53" t="str">
        <f t="shared" si="27"/>
        <v>Z032Z</v>
      </c>
      <c r="H73" s="55" t="s">
        <v>28</v>
      </c>
      <c r="I73" s="55"/>
      <c r="J73" s="55"/>
      <c r="K73" s="55"/>
      <c r="L73" s="52">
        <v>4600</v>
      </c>
      <c r="M73" s="52">
        <v>4650</v>
      </c>
      <c r="N73" s="53">
        <f t="shared" ref="N73:N104" si="29">M73-L73</f>
        <v>50</v>
      </c>
      <c r="O73" s="29">
        <f t="shared" si="24"/>
        <v>50</v>
      </c>
      <c r="P73" s="56" t="s">
        <v>6</v>
      </c>
      <c r="Q73" s="56"/>
      <c r="R73" s="114">
        <v>3000</v>
      </c>
      <c r="S73" s="102">
        <v>3300</v>
      </c>
      <c r="T73" s="55">
        <f t="shared" si="25"/>
        <v>300</v>
      </c>
      <c r="U73" s="56" t="s">
        <v>6</v>
      </c>
      <c r="V73" s="56"/>
      <c r="W73" s="114">
        <v>5</v>
      </c>
      <c r="X73" s="114">
        <v>5</v>
      </c>
      <c r="Y73" s="55">
        <f t="shared" si="26"/>
        <v>0</v>
      </c>
      <c r="Z73" s="66">
        <v>3</v>
      </c>
      <c r="AA73" s="66">
        <v>3</v>
      </c>
      <c r="AB73" s="62" t="s">
        <v>327</v>
      </c>
      <c r="AC73" s="57">
        <v>0</v>
      </c>
      <c r="AD73" s="57">
        <v>0</v>
      </c>
      <c r="AE73" s="57">
        <v>0</v>
      </c>
      <c r="AF73" s="57">
        <v>0</v>
      </c>
      <c r="AG73" s="52">
        <v>4</v>
      </c>
      <c r="AH73" s="76">
        <v>1</v>
      </c>
      <c r="AI73" s="57">
        <v>0</v>
      </c>
      <c r="AJ73" s="57">
        <v>0</v>
      </c>
      <c r="AK73" s="57">
        <v>0</v>
      </c>
      <c r="AL73" s="52">
        <v>100</v>
      </c>
      <c r="AM73" s="57">
        <v>20</v>
      </c>
      <c r="AN73" s="57">
        <v>0</v>
      </c>
      <c r="AO73" s="57">
        <v>0</v>
      </c>
      <c r="AP73" s="57">
        <v>0</v>
      </c>
      <c r="AQ73" s="57">
        <v>0</v>
      </c>
      <c r="AR73" s="57">
        <v>0</v>
      </c>
      <c r="AS73" s="58">
        <v>65</v>
      </c>
      <c r="AT73" s="57">
        <v>0</v>
      </c>
      <c r="AU73" s="57">
        <v>0</v>
      </c>
      <c r="AV73" s="57">
        <v>0</v>
      </c>
      <c r="AW73" s="57">
        <v>1</v>
      </c>
      <c r="AX73" s="57">
        <v>0</v>
      </c>
      <c r="AY73" s="57">
        <v>1</v>
      </c>
      <c r="AZ73" s="57">
        <v>0</v>
      </c>
      <c r="BA73" s="53">
        <v>1</v>
      </c>
      <c r="BB73" s="57">
        <v>0</v>
      </c>
      <c r="BC73" s="57">
        <v>0</v>
      </c>
      <c r="BD73" s="57">
        <v>0.9</v>
      </c>
      <c r="BE73" s="58">
        <v>20</v>
      </c>
      <c r="BF73" s="57">
        <v>0</v>
      </c>
      <c r="BG73" s="58">
        <v>1</v>
      </c>
      <c r="BH73" s="57">
        <v>0</v>
      </c>
      <c r="BI73" s="52" t="s">
        <v>133</v>
      </c>
      <c r="BJ73" s="52">
        <v>4</v>
      </c>
      <c r="BK73" s="52" t="s">
        <v>25</v>
      </c>
      <c r="BL73" s="65"/>
      <c r="BM73" s="52">
        <v>1</v>
      </c>
      <c r="BN73" s="52"/>
      <c r="BO73" s="52"/>
      <c r="BP73" s="52"/>
      <c r="BQ73" s="55"/>
      <c r="BR73" s="52"/>
      <c r="BS73" s="52"/>
      <c r="BT73" s="55"/>
      <c r="BU73" s="55"/>
      <c r="BV73" s="55"/>
      <c r="BW73" s="56"/>
      <c r="BX73" s="60" t="s">
        <v>226</v>
      </c>
      <c r="BY73" s="56" t="str">
        <f>"Approx "&amp;TEXT((3*AA73),0)&amp;" (3*SP)"</f>
        <v>Approx 9 (3*SP)</v>
      </c>
      <c r="BZ73" s="62" t="s">
        <v>254</v>
      </c>
    </row>
    <row r="74" spans="1:78" s="30" customFormat="1" ht="26.25" thickBot="1" x14ac:dyDescent="0.25">
      <c r="A74" s="14">
        <v>33</v>
      </c>
      <c r="B74" s="29" t="str">
        <f t="shared" si="22"/>
        <v>EMITTER_33</v>
      </c>
      <c r="C74" s="29">
        <f t="shared" si="28"/>
        <v>165</v>
      </c>
      <c r="D74" s="12">
        <f t="shared" si="23"/>
        <v>33001</v>
      </c>
      <c r="E74" s="29">
        <v>1</v>
      </c>
      <c r="F74" s="23" t="s">
        <v>104</v>
      </c>
      <c r="G74" s="29" t="str">
        <f t="shared" si="27"/>
        <v>Z033Z</v>
      </c>
      <c r="H74" s="23" t="s">
        <v>67</v>
      </c>
      <c r="I74" s="23"/>
      <c r="J74" s="23"/>
      <c r="K74" s="23"/>
      <c r="L74" s="29">
        <v>800</v>
      </c>
      <c r="M74" s="29">
        <v>900</v>
      </c>
      <c r="N74" s="29">
        <f t="shared" si="29"/>
        <v>100</v>
      </c>
      <c r="O74" s="29">
        <f t="shared" si="24"/>
        <v>100</v>
      </c>
      <c r="P74" s="50" t="s">
        <v>6</v>
      </c>
      <c r="Q74" s="50"/>
      <c r="R74" s="120">
        <v>2030</v>
      </c>
      <c r="S74" s="104">
        <v>3000</v>
      </c>
      <c r="T74" s="13">
        <f t="shared" si="25"/>
        <v>970</v>
      </c>
      <c r="U74" s="50" t="s">
        <v>11</v>
      </c>
      <c r="V74" s="50" t="s">
        <v>266</v>
      </c>
      <c r="W74" s="115">
        <v>3</v>
      </c>
      <c r="X74" s="115">
        <v>3</v>
      </c>
      <c r="Y74" s="13">
        <f t="shared" si="26"/>
        <v>0</v>
      </c>
      <c r="Z74" s="13">
        <v>10</v>
      </c>
      <c r="AA74" s="13">
        <v>10</v>
      </c>
      <c r="AB74" s="59" t="s">
        <v>316</v>
      </c>
      <c r="AC74" s="23">
        <v>0</v>
      </c>
      <c r="AD74" s="47">
        <v>360</v>
      </c>
      <c r="AE74" s="23">
        <v>0</v>
      </c>
      <c r="AF74" s="23">
        <v>0</v>
      </c>
      <c r="AG74" s="14">
        <v>2</v>
      </c>
      <c r="AH74" s="23">
        <v>5</v>
      </c>
      <c r="AI74" s="23">
        <v>0</v>
      </c>
      <c r="AJ74" s="23">
        <v>0</v>
      </c>
      <c r="AK74" s="23">
        <v>0</v>
      </c>
      <c r="AL74" s="14">
        <v>100</v>
      </c>
      <c r="AM74" s="23">
        <v>20</v>
      </c>
      <c r="AN74" s="23">
        <v>0</v>
      </c>
      <c r="AO74" s="23">
        <v>0</v>
      </c>
      <c r="AP74" s="23">
        <v>0</v>
      </c>
      <c r="AQ74" s="23">
        <v>0</v>
      </c>
      <c r="AR74" s="23">
        <v>0</v>
      </c>
      <c r="AS74" s="23">
        <v>0</v>
      </c>
      <c r="AT74" s="23">
        <v>0</v>
      </c>
      <c r="AU74" s="23">
        <v>0</v>
      </c>
      <c r="AV74" s="23">
        <v>0</v>
      </c>
      <c r="AW74" s="23">
        <v>1</v>
      </c>
      <c r="AX74" s="23">
        <v>0</v>
      </c>
      <c r="AY74" s="23">
        <v>1</v>
      </c>
      <c r="AZ74" s="23">
        <v>0</v>
      </c>
      <c r="BA74" s="29">
        <v>1</v>
      </c>
      <c r="BB74" s="23">
        <v>0</v>
      </c>
      <c r="BC74" s="23">
        <v>0</v>
      </c>
      <c r="BD74" s="23">
        <v>0.9</v>
      </c>
      <c r="BE74" s="47">
        <v>20</v>
      </c>
      <c r="BF74" s="23">
        <v>0</v>
      </c>
      <c r="BG74" s="23">
        <v>0</v>
      </c>
      <c r="BH74" s="23">
        <v>0</v>
      </c>
      <c r="BI74" s="14" t="s">
        <v>133</v>
      </c>
      <c r="BJ74" s="14">
        <v>4</v>
      </c>
      <c r="BK74" s="14" t="s">
        <v>9</v>
      </c>
      <c r="BL74" s="23"/>
      <c r="BM74" s="14"/>
      <c r="BN74" s="14"/>
      <c r="BO74" s="14"/>
      <c r="BP74" s="14">
        <v>1</v>
      </c>
      <c r="BQ74" s="13"/>
      <c r="BR74" s="14"/>
      <c r="BS74" s="14">
        <v>1</v>
      </c>
      <c r="BT74" s="14"/>
      <c r="BU74" s="13"/>
      <c r="BV74" s="13"/>
      <c r="BW74" s="15"/>
      <c r="BX74" s="43" t="s">
        <v>226</v>
      </c>
      <c r="BY74" s="15" t="str">
        <f>"Approx "&amp;TEXT((3*AA74),0)&amp;" (3*SP)"</f>
        <v>Approx 30 (3*SP)</v>
      </c>
      <c r="BZ74" s="51" t="s">
        <v>254</v>
      </c>
    </row>
    <row r="75" spans="1:78" s="75" customFormat="1" ht="26.25" thickBot="1" x14ac:dyDescent="0.25">
      <c r="A75" s="52">
        <v>34</v>
      </c>
      <c r="B75" s="53" t="str">
        <f t="shared" si="22"/>
        <v>EMITTER_34</v>
      </c>
      <c r="C75" s="53">
        <f t="shared" si="28"/>
        <v>170</v>
      </c>
      <c r="D75" s="12">
        <f t="shared" si="23"/>
        <v>34001</v>
      </c>
      <c r="E75" s="54">
        <v>1</v>
      </c>
      <c r="F75" s="55" t="s">
        <v>55</v>
      </c>
      <c r="G75" s="52" t="s">
        <v>164</v>
      </c>
      <c r="H75" s="55" t="s">
        <v>27</v>
      </c>
      <c r="I75" s="55"/>
      <c r="J75" s="55"/>
      <c r="K75" s="55"/>
      <c r="L75" s="52">
        <v>1200</v>
      </c>
      <c r="M75" s="52">
        <v>1400</v>
      </c>
      <c r="N75" s="53">
        <f t="shared" si="29"/>
        <v>200</v>
      </c>
      <c r="O75" s="29">
        <f t="shared" si="24"/>
        <v>200</v>
      </c>
      <c r="P75" s="56" t="s">
        <v>6</v>
      </c>
      <c r="Q75" s="56"/>
      <c r="R75" s="114">
        <v>120</v>
      </c>
      <c r="S75" s="102">
        <v>140</v>
      </c>
      <c r="T75" s="55">
        <f t="shared" si="25"/>
        <v>20</v>
      </c>
      <c r="U75" s="56" t="s">
        <v>6</v>
      </c>
      <c r="V75" s="56"/>
      <c r="W75" s="114">
        <v>5</v>
      </c>
      <c r="X75" s="114">
        <v>5</v>
      </c>
      <c r="Y75" s="55">
        <f t="shared" si="26"/>
        <v>0</v>
      </c>
      <c r="Z75" s="55">
        <v>2</v>
      </c>
      <c r="AA75" s="55">
        <v>2</v>
      </c>
      <c r="AB75" s="59" t="s">
        <v>316</v>
      </c>
      <c r="AC75" s="57">
        <v>0</v>
      </c>
      <c r="AD75" s="58">
        <v>45</v>
      </c>
      <c r="AE75" s="57">
        <v>0</v>
      </c>
      <c r="AF75" s="57">
        <v>0</v>
      </c>
      <c r="AG75" s="52">
        <v>2</v>
      </c>
      <c r="AH75" s="57">
        <v>6</v>
      </c>
      <c r="AI75" s="57">
        <v>0</v>
      </c>
      <c r="AJ75" s="57">
        <v>0</v>
      </c>
      <c r="AK75" s="57">
        <v>0</v>
      </c>
      <c r="AL75" s="69">
        <v>100</v>
      </c>
      <c r="AM75" s="57">
        <v>15</v>
      </c>
      <c r="AN75" s="57">
        <v>0</v>
      </c>
      <c r="AO75" s="57">
        <v>0</v>
      </c>
      <c r="AP75" s="57">
        <v>0</v>
      </c>
      <c r="AQ75" s="57">
        <v>0</v>
      </c>
      <c r="AR75" s="57">
        <v>0</v>
      </c>
      <c r="AS75" s="57">
        <v>0</v>
      </c>
      <c r="AT75" s="57">
        <v>0</v>
      </c>
      <c r="AU75" s="57">
        <v>0</v>
      </c>
      <c r="AV75" s="57">
        <v>0</v>
      </c>
      <c r="AW75" s="57">
        <v>1</v>
      </c>
      <c r="AX75" s="57">
        <v>0</v>
      </c>
      <c r="AY75" s="57">
        <v>1</v>
      </c>
      <c r="AZ75" s="57">
        <v>0</v>
      </c>
      <c r="BA75" s="53">
        <v>1</v>
      </c>
      <c r="BB75" s="57">
        <v>0</v>
      </c>
      <c r="BC75" s="57">
        <v>0</v>
      </c>
      <c r="BD75" s="57">
        <v>0.9</v>
      </c>
      <c r="BE75" s="57">
        <f t="shared" ref="BE75:BE80" si="30">2*BI75</f>
        <v>16</v>
      </c>
      <c r="BF75" s="57">
        <v>0</v>
      </c>
      <c r="BG75" s="57">
        <v>0</v>
      </c>
      <c r="BH75" s="57">
        <v>0</v>
      </c>
      <c r="BI75" s="52">
        <v>8</v>
      </c>
      <c r="BJ75" s="52">
        <v>5</v>
      </c>
      <c r="BK75" s="52" t="s">
        <v>9</v>
      </c>
      <c r="BL75" s="65"/>
      <c r="BM75" s="52">
        <v>1</v>
      </c>
      <c r="BN75" s="52"/>
      <c r="BO75" s="52"/>
      <c r="BP75" s="52"/>
      <c r="BQ75" s="55"/>
      <c r="BR75" s="52"/>
      <c r="BS75" s="52"/>
      <c r="BT75" s="55"/>
      <c r="BU75" s="57"/>
      <c r="BV75" s="57"/>
      <c r="BW75" s="56"/>
      <c r="BX75" s="60" t="s">
        <v>226</v>
      </c>
      <c r="BY75" s="56" t="str">
        <f>"Approx "&amp;TEXT((3*AA75),0)&amp;" (3*SP)"</f>
        <v>Approx 6 (3*SP)</v>
      </c>
      <c r="BZ75" s="62" t="s">
        <v>255</v>
      </c>
    </row>
    <row r="76" spans="1:78" s="75" customFormat="1" ht="26.25" thickBot="1" x14ac:dyDescent="0.25">
      <c r="A76" s="52">
        <v>34</v>
      </c>
      <c r="B76" s="53" t="str">
        <f t="shared" si="22"/>
        <v>EMITTER_34</v>
      </c>
      <c r="C76" s="53">
        <f t="shared" si="28"/>
        <v>170</v>
      </c>
      <c r="D76" s="12">
        <f t="shared" si="23"/>
        <v>34003</v>
      </c>
      <c r="E76" s="54">
        <v>3</v>
      </c>
      <c r="F76" s="55" t="s">
        <v>56</v>
      </c>
      <c r="G76" s="52" t="s">
        <v>166</v>
      </c>
      <c r="H76" s="55" t="s">
        <v>17</v>
      </c>
      <c r="I76" s="55"/>
      <c r="J76" s="55"/>
      <c r="K76" s="55"/>
      <c r="L76" s="52">
        <v>16500</v>
      </c>
      <c r="M76" s="52">
        <v>16600</v>
      </c>
      <c r="N76" s="53">
        <f t="shared" si="29"/>
        <v>100</v>
      </c>
      <c r="O76" s="29">
        <f t="shared" si="24"/>
        <v>100</v>
      </c>
      <c r="P76" s="56" t="s">
        <v>6</v>
      </c>
      <c r="Q76" s="56"/>
      <c r="R76" s="114">
        <v>70</v>
      </c>
      <c r="S76" s="106">
        <v>98</v>
      </c>
      <c r="T76" s="55">
        <f t="shared" si="25"/>
        <v>28</v>
      </c>
      <c r="U76" s="56" t="s">
        <v>11</v>
      </c>
      <c r="V76" s="56" t="s">
        <v>250</v>
      </c>
      <c r="W76" s="114">
        <v>1</v>
      </c>
      <c r="X76" s="114">
        <v>1</v>
      </c>
      <c r="Y76" s="55">
        <f t="shared" si="26"/>
        <v>0</v>
      </c>
      <c r="Z76" s="55">
        <v>0</v>
      </c>
      <c r="AA76" s="55">
        <v>0</v>
      </c>
      <c r="AB76" s="55" t="s">
        <v>12</v>
      </c>
      <c r="AC76" s="57">
        <v>0</v>
      </c>
      <c r="AD76" s="57">
        <v>0</v>
      </c>
      <c r="AE76" s="57">
        <v>0</v>
      </c>
      <c r="AF76" s="57">
        <v>9999</v>
      </c>
      <c r="AG76" s="52">
        <v>2</v>
      </c>
      <c r="AH76" s="57">
        <v>6</v>
      </c>
      <c r="AI76" s="57">
        <v>0</v>
      </c>
      <c r="AJ76" s="57">
        <v>0</v>
      </c>
      <c r="AK76" s="57">
        <v>0</v>
      </c>
      <c r="AL76" s="69">
        <v>120</v>
      </c>
      <c r="AM76" s="57">
        <v>15</v>
      </c>
      <c r="AN76" s="57">
        <v>0</v>
      </c>
      <c r="AO76" s="57">
        <v>0</v>
      </c>
      <c r="AP76" s="57">
        <v>0</v>
      </c>
      <c r="AQ76" s="57">
        <v>0</v>
      </c>
      <c r="AR76" s="57">
        <v>0</v>
      </c>
      <c r="AS76" s="57">
        <v>0</v>
      </c>
      <c r="AT76" s="57">
        <v>0</v>
      </c>
      <c r="AU76" s="57">
        <v>0</v>
      </c>
      <c r="AV76" s="57">
        <v>0</v>
      </c>
      <c r="AW76" s="57">
        <v>1</v>
      </c>
      <c r="AX76" s="57">
        <v>0</v>
      </c>
      <c r="AY76" s="57">
        <v>1</v>
      </c>
      <c r="AZ76" s="57">
        <v>8</v>
      </c>
      <c r="BA76" s="53">
        <v>1</v>
      </c>
      <c r="BB76" s="57">
        <v>0</v>
      </c>
      <c r="BC76" s="57">
        <v>0</v>
      </c>
      <c r="BD76" s="57">
        <v>0.9</v>
      </c>
      <c r="BE76" s="57">
        <f t="shared" si="30"/>
        <v>16</v>
      </c>
      <c r="BF76" s="57">
        <v>0</v>
      </c>
      <c r="BG76" s="57">
        <v>0</v>
      </c>
      <c r="BH76" s="57">
        <v>0</v>
      </c>
      <c r="BI76" s="52">
        <v>8</v>
      </c>
      <c r="BJ76" s="52">
        <v>5</v>
      </c>
      <c r="BK76" s="52" t="s">
        <v>9</v>
      </c>
      <c r="BL76" s="65"/>
      <c r="BM76" s="52">
        <v>1</v>
      </c>
      <c r="BN76" s="52"/>
      <c r="BO76" s="52"/>
      <c r="BP76" s="52"/>
      <c r="BQ76" s="55"/>
      <c r="BR76" s="52"/>
      <c r="BS76" s="52"/>
      <c r="BT76" s="55"/>
      <c r="BU76" s="55"/>
      <c r="BV76" s="52">
        <v>1</v>
      </c>
      <c r="BW76" s="56"/>
      <c r="BX76" s="60" t="s">
        <v>225</v>
      </c>
      <c r="BY76" s="56" t="str">
        <f>"Approx "&amp;TEXT((2*AA76),0)&amp;" (2*SP)"</f>
        <v>Approx 0 (2*SP)</v>
      </c>
      <c r="BZ76" s="62" t="s">
        <v>255</v>
      </c>
    </row>
    <row r="77" spans="1:78" s="75" customFormat="1" ht="64.5" thickBot="1" x14ac:dyDescent="0.25">
      <c r="A77" s="52">
        <v>34</v>
      </c>
      <c r="B77" s="53" t="str">
        <f t="shared" si="22"/>
        <v>EMITTER_34</v>
      </c>
      <c r="C77" s="53">
        <f t="shared" si="28"/>
        <v>170</v>
      </c>
      <c r="D77" s="12">
        <f t="shared" si="23"/>
        <v>34002</v>
      </c>
      <c r="E77" s="54">
        <v>2</v>
      </c>
      <c r="F77" s="55" t="s">
        <v>54</v>
      </c>
      <c r="G77" s="52" t="s">
        <v>165</v>
      </c>
      <c r="H77" s="55" t="s">
        <v>5</v>
      </c>
      <c r="I77" s="55"/>
      <c r="J77" s="55"/>
      <c r="K77" s="55"/>
      <c r="L77" s="69">
        <v>17011</v>
      </c>
      <c r="M77" s="69">
        <v>17089</v>
      </c>
      <c r="N77" s="53">
        <f t="shared" si="29"/>
        <v>78</v>
      </c>
      <c r="O77" s="29">
        <f t="shared" si="24"/>
        <v>78</v>
      </c>
      <c r="P77" s="56" t="s">
        <v>31</v>
      </c>
      <c r="Q77" s="56" t="s">
        <v>101</v>
      </c>
      <c r="R77" s="114">
        <v>200</v>
      </c>
      <c r="S77" s="102">
        <v>250</v>
      </c>
      <c r="T77" s="55">
        <f t="shared" si="25"/>
        <v>50</v>
      </c>
      <c r="U77" s="56" t="s">
        <v>6</v>
      </c>
      <c r="V77" s="56"/>
      <c r="W77" s="114">
        <v>1</v>
      </c>
      <c r="X77" s="114">
        <v>1</v>
      </c>
      <c r="Y77" s="55">
        <f t="shared" si="26"/>
        <v>0</v>
      </c>
      <c r="Z77" s="66">
        <v>4.8</v>
      </c>
      <c r="AA77" s="66">
        <v>6</v>
      </c>
      <c r="AB77" s="62" t="s">
        <v>318</v>
      </c>
      <c r="AC77" s="57">
        <v>50</v>
      </c>
      <c r="AD77" s="58">
        <v>120</v>
      </c>
      <c r="AE77" s="59">
        <v>0</v>
      </c>
      <c r="AF77" s="58">
        <v>50</v>
      </c>
      <c r="AG77" s="52">
        <v>2</v>
      </c>
      <c r="AH77" s="57">
        <v>6</v>
      </c>
      <c r="AI77" s="57">
        <v>2</v>
      </c>
      <c r="AJ77" s="58">
        <v>60</v>
      </c>
      <c r="AK77" s="57" t="s">
        <v>213</v>
      </c>
      <c r="AL77" s="52">
        <v>120</v>
      </c>
      <c r="AM77" s="57">
        <v>15</v>
      </c>
      <c r="AN77" s="57">
        <v>0</v>
      </c>
      <c r="AO77" s="57">
        <v>0</v>
      </c>
      <c r="AP77" s="57">
        <v>0</v>
      </c>
      <c r="AQ77" s="57">
        <v>0</v>
      </c>
      <c r="AR77" s="58">
        <v>1</v>
      </c>
      <c r="AS77" s="58">
        <v>0</v>
      </c>
      <c r="AT77" s="57">
        <v>0</v>
      </c>
      <c r="AU77" s="57">
        <v>0</v>
      </c>
      <c r="AV77" s="57">
        <v>0</v>
      </c>
      <c r="AW77" s="57">
        <v>1</v>
      </c>
      <c r="AX77" s="57">
        <v>0</v>
      </c>
      <c r="AY77" s="58">
        <v>0</v>
      </c>
      <c r="AZ77" s="57">
        <v>4</v>
      </c>
      <c r="BA77" s="53">
        <v>1</v>
      </c>
      <c r="BB77" s="57">
        <v>0</v>
      </c>
      <c r="BC77" s="57">
        <v>0</v>
      </c>
      <c r="BD77" s="57">
        <v>0.9</v>
      </c>
      <c r="BE77" s="57">
        <f t="shared" si="30"/>
        <v>16</v>
      </c>
      <c r="BF77" s="57">
        <v>1</v>
      </c>
      <c r="BG77" s="57">
        <v>0</v>
      </c>
      <c r="BH77" s="57">
        <v>0</v>
      </c>
      <c r="BI77" s="52">
        <v>8</v>
      </c>
      <c r="BJ77" s="52">
        <v>5</v>
      </c>
      <c r="BK77" s="52" t="s">
        <v>9</v>
      </c>
      <c r="BL77" s="65"/>
      <c r="BM77" s="52"/>
      <c r="BN77" s="52"/>
      <c r="BO77" s="52">
        <v>1</v>
      </c>
      <c r="BP77" s="52"/>
      <c r="BQ77" s="55"/>
      <c r="BR77" s="52">
        <v>1</v>
      </c>
      <c r="BS77" s="52"/>
      <c r="BT77" s="55"/>
      <c r="BU77" s="57"/>
      <c r="BV77" s="57"/>
      <c r="BW77" s="56"/>
      <c r="BX77" s="60" t="s">
        <v>225</v>
      </c>
      <c r="BY77" s="56">
        <v>2</v>
      </c>
      <c r="BZ77" s="62" t="s">
        <v>255</v>
      </c>
    </row>
    <row r="78" spans="1:78" s="30" customFormat="1" ht="26.25" thickBot="1" x14ac:dyDescent="0.25">
      <c r="A78" s="14">
        <v>35</v>
      </c>
      <c r="B78" s="29" t="str">
        <f t="shared" si="22"/>
        <v>EMITTER_35</v>
      </c>
      <c r="C78" s="29">
        <f t="shared" si="28"/>
        <v>175</v>
      </c>
      <c r="D78" s="12">
        <f t="shared" si="23"/>
        <v>35001</v>
      </c>
      <c r="E78" s="12">
        <v>1</v>
      </c>
      <c r="F78" s="13" t="s">
        <v>23</v>
      </c>
      <c r="G78" s="29" t="str">
        <f t="shared" ref="G78:G96" si="31">"Z0"&amp;TEXT(A78,"0")&amp;"Z"</f>
        <v>Z035Z</v>
      </c>
      <c r="H78" s="13" t="s">
        <v>24</v>
      </c>
      <c r="I78" s="13"/>
      <c r="J78" s="13"/>
      <c r="K78" s="13"/>
      <c r="L78" s="14">
        <v>3000</v>
      </c>
      <c r="M78" s="14">
        <v>3100</v>
      </c>
      <c r="N78" s="29">
        <f t="shared" si="29"/>
        <v>100</v>
      </c>
      <c r="O78" s="29">
        <f t="shared" si="24"/>
        <v>100</v>
      </c>
      <c r="P78" s="15" t="s">
        <v>6</v>
      </c>
      <c r="Q78" s="15"/>
      <c r="R78" s="113">
        <v>2900</v>
      </c>
      <c r="S78" s="101">
        <v>2910</v>
      </c>
      <c r="T78" s="13">
        <f t="shared" si="25"/>
        <v>10</v>
      </c>
      <c r="U78" s="51" t="s">
        <v>11</v>
      </c>
      <c r="V78" s="15" t="s">
        <v>122</v>
      </c>
      <c r="W78" s="113">
        <v>1</v>
      </c>
      <c r="X78" s="113">
        <v>2</v>
      </c>
      <c r="Y78" s="13">
        <f t="shared" si="26"/>
        <v>1</v>
      </c>
      <c r="Z78" s="13">
        <v>4</v>
      </c>
      <c r="AA78" s="13">
        <v>4</v>
      </c>
      <c r="AB78" s="59" t="s">
        <v>316</v>
      </c>
      <c r="AC78" s="23">
        <v>0</v>
      </c>
      <c r="AD78" s="47">
        <v>360</v>
      </c>
      <c r="AE78" s="23">
        <v>0</v>
      </c>
      <c r="AF78" s="23">
        <v>0</v>
      </c>
      <c r="AG78" s="14">
        <v>3</v>
      </c>
      <c r="AH78" s="23">
        <v>6</v>
      </c>
      <c r="AI78" s="23">
        <v>0</v>
      </c>
      <c r="AJ78" s="23">
        <v>0</v>
      </c>
      <c r="AK78" s="23">
        <v>0</v>
      </c>
      <c r="AL78" s="14">
        <v>100</v>
      </c>
      <c r="AM78" s="23">
        <v>25</v>
      </c>
      <c r="AN78" s="23">
        <v>0</v>
      </c>
      <c r="AO78" s="23">
        <v>0</v>
      </c>
      <c r="AP78" s="23">
        <v>0</v>
      </c>
      <c r="AQ78" s="23">
        <v>0</v>
      </c>
      <c r="AR78" s="23">
        <v>0</v>
      </c>
      <c r="AS78" s="23">
        <v>0</v>
      </c>
      <c r="AT78" s="23">
        <v>0</v>
      </c>
      <c r="AU78" s="23">
        <v>0</v>
      </c>
      <c r="AV78" s="23">
        <v>0</v>
      </c>
      <c r="AW78" s="23">
        <v>1</v>
      </c>
      <c r="AX78" s="23">
        <v>0</v>
      </c>
      <c r="AY78" s="23">
        <v>1</v>
      </c>
      <c r="AZ78" s="23">
        <v>0</v>
      </c>
      <c r="BA78" s="29">
        <v>1</v>
      </c>
      <c r="BB78" s="23">
        <v>0</v>
      </c>
      <c r="BC78" s="23">
        <v>0</v>
      </c>
      <c r="BD78" s="23">
        <v>0.9</v>
      </c>
      <c r="BE78" s="23">
        <f t="shared" si="30"/>
        <v>12</v>
      </c>
      <c r="BF78" s="23">
        <v>0</v>
      </c>
      <c r="BG78" s="23">
        <v>0</v>
      </c>
      <c r="BH78" s="23">
        <v>0</v>
      </c>
      <c r="BI78" s="14">
        <v>6</v>
      </c>
      <c r="BJ78" s="14">
        <v>6</v>
      </c>
      <c r="BK78" s="14" t="s">
        <v>9</v>
      </c>
      <c r="BL78" s="23"/>
      <c r="BM78" s="14">
        <v>1</v>
      </c>
      <c r="BN78" s="14"/>
      <c r="BO78" s="14"/>
      <c r="BP78" s="14"/>
      <c r="BQ78" s="13"/>
      <c r="BR78" s="14"/>
      <c r="BS78" s="14"/>
      <c r="BT78" s="13"/>
      <c r="BU78" s="13"/>
      <c r="BV78" s="13"/>
      <c r="BW78" s="15"/>
      <c r="BX78" s="43" t="s">
        <v>226</v>
      </c>
      <c r="BY78" s="15" t="str">
        <f>"Approx "&amp;TEXT((2*AA78),0)&amp;" (2*SP)"</f>
        <v>Approx 8 (2*SP)</v>
      </c>
      <c r="BZ78" s="51" t="s">
        <v>254</v>
      </c>
    </row>
    <row r="79" spans="1:78" s="30" customFormat="1" ht="26.25" thickBot="1" x14ac:dyDescent="0.25">
      <c r="A79" s="14">
        <v>35</v>
      </c>
      <c r="B79" s="29" t="str">
        <f t="shared" si="22"/>
        <v>EMITTER_35</v>
      </c>
      <c r="C79" s="29">
        <f t="shared" si="28"/>
        <v>175</v>
      </c>
      <c r="D79" s="12">
        <f t="shared" si="23"/>
        <v>35002</v>
      </c>
      <c r="E79" s="12">
        <v>2</v>
      </c>
      <c r="F79" s="13" t="s">
        <v>23</v>
      </c>
      <c r="G79" s="29" t="str">
        <f t="shared" si="31"/>
        <v>Z035Z</v>
      </c>
      <c r="H79" s="13" t="s">
        <v>24</v>
      </c>
      <c r="I79" s="13"/>
      <c r="J79" s="13"/>
      <c r="K79" s="13"/>
      <c r="L79" s="14">
        <v>3100</v>
      </c>
      <c r="M79" s="14">
        <v>3150</v>
      </c>
      <c r="N79" s="29">
        <f t="shared" si="29"/>
        <v>50</v>
      </c>
      <c r="O79" s="29">
        <f t="shared" si="24"/>
        <v>50</v>
      </c>
      <c r="P79" s="15" t="s">
        <v>6</v>
      </c>
      <c r="Q79" s="15"/>
      <c r="R79" s="113">
        <v>800</v>
      </c>
      <c r="S79" s="101">
        <v>1000</v>
      </c>
      <c r="T79" s="13">
        <f t="shared" si="25"/>
        <v>200</v>
      </c>
      <c r="U79" s="15" t="s">
        <v>11</v>
      </c>
      <c r="V79" s="15" t="s">
        <v>123</v>
      </c>
      <c r="W79" s="113">
        <v>1</v>
      </c>
      <c r="X79" s="113">
        <v>1</v>
      </c>
      <c r="Y79" s="13">
        <f t="shared" si="26"/>
        <v>0</v>
      </c>
      <c r="Z79" s="13">
        <v>5</v>
      </c>
      <c r="AA79" s="13">
        <v>5</v>
      </c>
      <c r="AB79" s="59" t="s">
        <v>316</v>
      </c>
      <c r="AC79" s="23">
        <v>0</v>
      </c>
      <c r="AD79" s="47">
        <v>360</v>
      </c>
      <c r="AE79" s="23">
        <v>0</v>
      </c>
      <c r="AF79" s="23">
        <v>0</v>
      </c>
      <c r="AG79" s="14">
        <v>3</v>
      </c>
      <c r="AH79" s="23">
        <v>6</v>
      </c>
      <c r="AI79" s="23">
        <v>0</v>
      </c>
      <c r="AJ79" s="23">
        <v>0</v>
      </c>
      <c r="AK79" s="23">
        <v>0</v>
      </c>
      <c r="AL79" s="14">
        <v>100</v>
      </c>
      <c r="AM79" s="23">
        <v>25</v>
      </c>
      <c r="AN79" s="23">
        <v>0</v>
      </c>
      <c r="AO79" s="23">
        <v>0</v>
      </c>
      <c r="AP79" s="23">
        <v>0</v>
      </c>
      <c r="AQ79" s="23">
        <v>0</v>
      </c>
      <c r="AR79" s="23">
        <v>0</v>
      </c>
      <c r="AS79" s="23">
        <v>0</v>
      </c>
      <c r="AT79" s="23">
        <v>0</v>
      </c>
      <c r="AU79" s="23">
        <v>0</v>
      </c>
      <c r="AV79" s="23">
        <v>0</v>
      </c>
      <c r="AW79" s="23">
        <v>1</v>
      </c>
      <c r="AX79" s="23">
        <v>0</v>
      </c>
      <c r="AY79" s="23">
        <v>1</v>
      </c>
      <c r="AZ79" s="23">
        <v>0</v>
      </c>
      <c r="BA79" s="29">
        <v>1</v>
      </c>
      <c r="BB79" s="23">
        <v>0</v>
      </c>
      <c r="BC79" s="23">
        <v>0</v>
      </c>
      <c r="BD79" s="23">
        <v>0.9</v>
      </c>
      <c r="BE79" s="23">
        <f t="shared" si="30"/>
        <v>12</v>
      </c>
      <c r="BF79" s="23">
        <v>0</v>
      </c>
      <c r="BG79" s="23">
        <v>0</v>
      </c>
      <c r="BH79" s="23">
        <v>0</v>
      </c>
      <c r="BI79" s="14">
        <v>6</v>
      </c>
      <c r="BJ79" s="14">
        <v>6</v>
      </c>
      <c r="BK79" s="14" t="s">
        <v>9</v>
      </c>
      <c r="BL79" s="23"/>
      <c r="BM79" s="14"/>
      <c r="BN79" s="14"/>
      <c r="BO79" s="14">
        <v>1</v>
      </c>
      <c r="BP79" s="14"/>
      <c r="BQ79" s="13"/>
      <c r="BR79" s="14">
        <v>1</v>
      </c>
      <c r="BS79" s="14"/>
      <c r="BT79" s="13"/>
      <c r="BU79" s="13"/>
      <c r="BV79" s="13"/>
      <c r="BW79" s="15"/>
      <c r="BX79" s="43" t="s">
        <v>226</v>
      </c>
      <c r="BY79" s="15" t="str">
        <f>"Approx "&amp;TEXT((2*AA79),0)&amp;" (2*SP)"</f>
        <v>Approx 10 (2*SP)</v>
      </c>
      <c r="BZ79" s="51" t="s">
        <v>254</v>
      </c>
    </row>
    <row r="80" spans="1:78" s="30" customFormat="1" ht="26.25" thickBot="1" x14ac:dyDescent="0.25">
      <c r="A80" s="14">
        <v>35</v>
      </c>
      <c r="B80" s="29" t="str">
        <f t="shared" si="22"/>
        <v>EMITTER_35</v>
      </c>
      <c r="C80" s="29">
        <f t="shared" si="28"/>
        <v>175</v>
      </c>
      <c r="D80" s="12">
        <f t="shared" si="23"/>
        <v>35003</v>
      </c>
      <c r="E80" s="12">
        <v>3</v>
      </c>
      <c r="F80" s="13" t="s">
        <v>23</v>
      </c>
      <c r="G80" s="29" t="str">
        <f t="shared" si="31"/>
        <v>Z035Z</v>
      </c>
      <c r="H80" s="13" t="s">
        <v>24</v>
      </c>
      <c r="I80" s="13"/>
      <c r="J80" s="13"/>
      <c r="K80" s="13"/>
      <c r="L80" s="14">
        <v>3900</v>
      </c>
      <c r="M80" s="14">
        <v>3950</v>
      </c>
      <c r="N80" s="29">
        <f t="shared" si="29"/>
        <v>50</v>
      </c>
      <c r="O80" s="29">
        <f t="shared" si="24"/>
        <v>50</v>
      </c>
      <c r="P80" s="15" t="s">
        <v>6</v>
      </c>
      <c r="Q80" s="15"/>
      <c r="R80" s="113">
        <v>1200</v>
      </c>
      <c r="S80" s="101">
        <v>1400</v>
      </c>
      <c r="T80" s="13">
        <f t="shared" si="25"/>
        <v>200</v>
      </c>
      <c r="U80" s="15" t="s">
        <v>11</v>
      </c>
      <c r="V80" s="15" t="s">
        <v>124</v>
      </c>
      <c r="W80" s="113">
        <v>1</v>
      </c>
      <c r="X80" s="113">
        <v>1</v>
      </c>
      <c r="Y80" s="13">
        <f t="shared" si="26"/>
        <v>0</v>
      </c>
      <c r="Z80" s="13">
        <v>5</v>
      </c>
      <c r="AA80" s="13">
        <v>5</v>
      </c>
      <c r="AB80" s="59" t="s">
        <v>316</v>
      </c>
      <c r="AC80" s="23">
        <v>0</v>
      </c>
      <c r="AD80" s="47">
        <v>360</v>
      </c>
      <c r="AE80" s="23">
        <v>0</v>
      </c>
      <c r="AF80" s="23">
        <v>0</v>
      </c>
      <c r="AG80" s="14">
        <v>3</v>
      </c>
      <c r="AH80" s="23">
        <v>6</v>
      </c>
      <c r="AI80" s="23">
        <v>0</v>
      </c>
      <c r="AJ80" s="23">
        <v>0</v>
      </c>
      <c r="AK80" s="23">
        <v>0</v>
      </c>
      <c r="AL80" s="14">
        <v>100</v>
      </c>
      <c r="AM80" s="23">
        <v>25</v>
      </c>
      <c r="AN80" s="23">
        <v>0</v>
      </c>
      <c r="AO80" s="23">
        <v>0</v>
      </c>
      <c r="AP80" s="23">
        <v>0</v>
      </c>
      <c r="AQ80" s="23">
        <v>0</v>
      </c>
      <c r="AR80" s="23">
        <v>0</v>
      </c>
      <c r="AS80" s="23">
        <v>0</v>
      </c>
      <c r="AT80" s="23">
        <v>0</v>
      </c>
      <c r="AU80" s="23">
        <v>0</v>
      </c>
      <c r="AV80" s="23">
        <v>0</v>
      </c>
      <c r="AW80" s="23">
        <v>1</v>
      </c>
      <c r="AX80" s="23">
        <v>0</v>
      </c>
      <c r="AY80" s="23">
        <v>1</v>
      </c>
      <c r="AZ80" s="23">
        <v>0</v>
      </c>
      <c r="BA80" s="29">
        <v>1</v>
      </c>
      <c r="BB80" s="23">
        <v>0</v>
      </c>
      <c r="BC80" s="23">
        <v>0</v>
      </c>
      <c r="BD80" s="23">
        <v>0.9</v>
      </c>
      <c r="BE80" s="23">
        <f t="shared" si="30"/>
        <v>12</v>
      </c>
      <c r="BF80" s="23">
        <v>0</v>
      </c>
      <c r="BG80" s="23">
        <v>0</v>
      </c>
      <c r="BH80" s="23">
        <v>0</v>
      </c>
      <c r="BI80" s="14">
        <v>6</v>
      </c>
      <c r="BJ80" s="14">
        <v>6</v>
      </c>
      <c r="BK80" s="14" t="s">
        <v>9</v>
      </c>
      <c r="BL80" s="23"/>
      <c r="BM80" s="14"/>
      <c r="BN80" s="14"/>
      <c r="BO80" s="14">
        <v>1</v>
      </c>
      <c r="BP80" s="14"/>
      <c r="BQ80" s="13"/>
      <c r="BR80" s="14">
        <v>1</v>
      </c>
      <c r="BS80" s="14"/>
      <c r="BT80" s="13"/>
      <c r="BU80" s="13"/>
      <c r="BV80" s="13"/>
      <c r="BW80" s="15"/>
      <c r="BX80" s="43" t="s">
        <v>226</v>
      </c>
      <c r="BY80" s="15" t="str">
        <f>"Approx "&amp;TEXT((2*AA80),0)&amp;" (2*SP)"</f>
        <v>Approx 10 (2*SP)</v>
      </c>
      <c r="BZ80" s="51" t="s">
        <v>254</v>
      </c>
    </row>
    <row r="81" spans="1:78" s="75" customFormat="1" ht="26.25" thickBot="1" x14ac:dyDescent="0.25">
      <c r="A81" s="52">
        <v>36</v>
      </c>
      <c r="B81" s="53" t="str">
        <f t="shared" si="22"/>
        <v>EMITTER_36</v>
      </c>
      <c r="C81" s="53">
        <f t="shared" si="28"/>
        <v>180</v>
      </c>
      <c r="D81" s="12">
        <f t="shared" si="23"/>
        <v>36001</v>
      </c>
      <c r="E81" s="54">
        <v>1</v>
      </c>
      <c r="F81" s="55" t="s">
        <v>146</v>
      </c>
      <c r="G81" s="53" t="str">
        <f t="shared" si="31"/>
        <v>Z036Z</v>
      </c>
      <c r="H81" s="55" t="s">
        <v>24</v>
      </c>
      <c r="I81" s="55"/>
      <c r="J81" s="55"/>
      <c r="K81" s="55"/>
      <c r="L81" s="52">
        <v>8800</v>
      </c>
      <c r="M81" s="52">
        <v>9000</v>
      </c>
      <c r="N81" s="53">
        <f t="shared" si="29"/>
        <v>200</v>
      </c>
      <c r="O81" s="29">
        <f t="shared" si="24"/>
        <v>200</v>
      </c>
      <c r="P81" s="56" t="s">
        <v>6</v>
      </c>
      <c r="Q81" s="56"/>
      <c r="R81" s="114">
        <v>100</v>
      </c>
      <c r="S81" s="106">
        <v>497</v>
      </c>
      <c r="T81" s="55">
        <f t="shared" si="25"/>
        <v>397</v>
      </c>
      <c r="U81" s="62" t="s">
        <v>31</v>
      </c>
      <c r="V81" s="56" t="s">
        <v>147</v>
      </c>
      <c r="W81" s="114">
        <v>2</v>
      </c>
      <c r="X81" s="114">
        <v>3</v>
      </c>
      <c r="Y81" s="55">
        <f t="shared" si="26"/>
        <v>1</v>
      </c>
      <c r="Z81" s="55">
        <v>4</v>
      </c>
      <c r="AA81" s="55">
        <v>4</v>
      </c>
      <c r="AB81" s="59" t="s">
        <v>316</v>
      </c>
      <c r="AC81" s="57">
        <v>0</v>
      </c>
      <c r="AD81" s="58">
        <v>360</v>
      </c>
      <c r="AE81" s="57">
        <v>0</v>
      </c>
      <c r="AF81" s="57">
        <v>0</v>
      </c>
      <c r="AG81" s="52">
        <v>4</v>
      </c>
      <c r="AH81" s="57">
        <v>7</v>
      </c>
      <c r="AI81" s="57">
        <v>0</v>
      </c>
      <c r="AJ81" s="57">
        <v>0</v>
      </c>
      <c r="AK81" s="57">
        <v>0</v>
      </c>
      <c r="AL81" s="52">
        <v>100</v>
      </c>
      <c r="AM81" s="57">
        <v>25</v>
      </c>
      <c r="AN81" s="57">
        <v>0</v>
      </c>
      <c r="AO81" s="57">
        <v>0</v>
      </c>
      <c r="AP81" s="57">
        <v>0</v>
      </c>
      <c r="AQ81" s="57">
        <v>0</v>
      </c>
      <c r="AR81" s="57">
        <v>0</v>
      </c>
      <c r="AS81" s="57">
        <v>0</v>
      </c>
      <c r="AT81" s="57">
        <v>0</v>
      </c>
      <c r="AU81" s="57">
        <v>0</v>
      </c>
      <c r="AV81" s="57">
        <v>0</v>
      </c>
      <c r="AW81" s="57">
        <v>1</v>
      </c>
      <c r="AX81" s="57">
        <v>0</v>
      </c>
      <c r="AY81" s="57">
        <v>1</v>
      </c>
      <c r="AZ81" s="57">
        <v>0</v>
      </c>
      <c r="BA81" s="53">
        <v>1</v>
      </c>
      <c r="BB81" s="57">
        <v>0</v>
      </c>
      <c r="BC81" s="57">
        <v>0</v>
      </c>
      <c r="BD81" s="57">
        <v>0.9</v>
      </c>
      <c r="BE81" s="58">
        <v>20</v>
      </c>
      <c r="BF81" s="57">
        <v>0</v>
      </c>
      <c r="BG81" s="57">
        <v>0</v>
      </c>
      <c r="BH81" s="57">
        <v>0</v>
      </c>
      <c r="BI81" s="52" t="s">
        <v>133</v>
      </c>
      <c r="BJ81" s="52">
        <v>4</v>
      </c>
      <c r="BK81" s="52" t="s">
        <v>9</v>
      </c>
      <c r="BL81" s="65"/>
      <c r="BM81" s="52"/>
      <c r="BN81" s="52"/>
      <c r="BO81" s="52">
        <v>1</v>
      </c>
      <c r="BP81" s="52"/>
      <c r="BQ81" s="55"/>
      <c r="BR81" s="52">
        <v>1</v>
      </c>
      <c r="BS81" s="52"/>
      <c r="BT81" s="55"/>
      <c r="BU81" s="57"/>
      <c r="BV81" s="57"/>
      <c r="BW81" s="56"/>
      <c r="BX81" s="60" t="s">
        <v>226</v>
      </c>
      <c r="BY81" s="56" t="str">
        <f>"Approx "&amp;TEXT((2*AA81),0)&amp;" (2*SP)"</f>
        <v>Approx 8 (2*SP)</v>
      </c>
      <c r="BZ81" s="77" t="s">
        <v>254</v>
      </c>
    </row>
    <row r="82" spans="1:78" s="30" customFormat="1" ht="26.25" thickBot="1" x14ac:dyDescent="0.25">
      <c r="A82" s="14">
        <v>37</v>
      </c>
      <c r="B82" s="29" t="str">
        <f t="shared" si="22"/>
        <v>EMITTER_37</v>
      </c>
      <c r="C82" s="29">
        <f t="shared" si="28"/>
        <v>185</v>
      </c>
      <c r="D82" s="12">
        <f t="shared" si="23"/>
        <v>37002</v>
      </c>
      <c r="E82" s="81">
        <v>2</v>
      </c>
      <c r="F82" s="13" t="s">
        <v>246</v>
      </c>
      <c r="G82" s="29" t="str">
        <f t="shared" si="31"/>
        <v>Z037Z</v>
      </c>
      <c r="H82" s="13" t="s">
        <v>28</v>
      </c>
      <c r="I82" s="13"/>
      <c r="J82" s="13"/>
      <c r="K82" s="13"/>
      <c r="L82" s="14">
        <v>2700</v>
      </c>
      <c r="M82" s="14">
        <v>2750</v>
      </c>
      <c r="N82" s="29">
        <f t="shared" si="29"/>
        <v>50</v>
      </c>
      <c r="O82" s="29">
        <f t="shared" si="24"/>
        <v>50</v>
      </c>
      <c r="P82" s="15" t="s">
        <v>6</v>
      </c>
      <c r="Q82" s="15"/>
      <c r="R82" s="116">
        <v>1666</v>
      </c>
      <c r="S82" s="103">
        <v>2140</v>
      </c>
      <c r="T82" s="13">
        <f t="shared" si="25"/>
        <v>474</v>
      </c>
      <c r="U82" s="15" t="s">
        <v>115</v>
      </c>
      <c r="V82" s="15" t="s">
        <v>247</v>
      </c>
      <c r="W82" s="113">
        <v>2</v>
      </c>
      <c r="X82" s="113">
        <v>2</v>
      </c>
      <c r="Y82" s="13">
        <f t="shared" si="26"/>
        <v>0</v>
      </c>
      <c r="Z82" s="79">
        <v>1.883</v>
      </c>
      <c r="AA82" s="79">
        <v>1.8839999999999999</v>
      </c>
      <c r="AB82" s="51" t="s">
        <v>328</v>
      </c>
      <c r="AC82" s="23">
        <v>0</v>
      </c>
      <c r="AD82" s="23">
        <v>0</v>
      </c>
      <c r="AE82" s="23">
        <v>0</v>
      </c>
      <c r="AF82" s="47">
        <v>94.18</v>
      </c>
      <c r="AG82" s="14">
        <v>3</v>
      </c>
      <c r="AH82" s="47">
        <v>3</v>
      </c>
      <c r="AI82" s="23">
        <v>0</v>
      </c>
      <c r="AJ82" s="47">
        <v>1</v>
      </c>
      <c r="AK82" s="23">
        <v>0</v>
      </c>
      <c r="AL82" s="14">
        <v>105</v>
      </c>
      <c r="AM82" s="23">
        <v>20</v>
      </c>
      <c r="AN82" s="23">
        <v>0</v>
      </c>
      <c r="AO82" s="23">
        <v>0</v>
      </c>
      <c r="AP82" s="23">
        <v>0</v>
      </c>
      <c r="AQ82" s="23">
        <v>0</v>
      </c>
      <c r="AR82" s="47">
        <v>20</v>
      </c>
      <c r="AS82" s="47">
        <v>60</v>
      </c>
      <c r="AT82" s="23">
        <v>0</v>
      </c>
      <c r="AU82" s="23">
        <v>0</v>
      </c>
      <c r="AV82" s="23">
        <v>0</v>
      </c>
      <c r="AW82" s="23">
        <v>1</v>
      </c>
      <c r="AX82" s="23">
        <v>0</v>
      </c>
      <c r="AY82" s="47">
        <v>0</v>
      </c>
      <c r="AZ82" s="47">
        <v>3</v>
      </c>
      <c r="BA82" s="29">
        <v>1</v>
      </c>
      <c r="BB82" s="23">
        <v>0</v>
      </c>
      <c r="BC82" s="23">
        <v>1</v>
      </c>
      <c r="BD82" s="23">
        <v>0.9</v>
      </c>
      <c r="BE82" s="47">
        <v>20</v>
      </c>
      <c r="BF82" s="23">
        <v>0</v>
      </c>
      <c r="BG82" s="23">
        <v>0</v>
      </c>
      <c r="BH82" s="23">
        <v>0</v>
      </c>
      <c r="BI82" s="14" t="s">
        <v>133</v>
      </c>
      <c r="BJ82" s="14">
        <v>8</v>
      </c>
      <c r="BK82" s="14" t="s">
        <v>25</v>
      </c>
      <c r="BL82" s="23"/>
      <c r="BM82" s="14"/>
      <c r="BN82" s="14"/>
      <c r="BO82" s="14"/>
      <c r="BP82" s="14">
        <v>1</v>
      </c>
      <c r="BQ82" s="13"/>
      <c r="BR82" s="14">
        <v>1</v>
      </c>
      <c r="BS82" s="14"/>
      <c r="BT82" s="13"/>
      <c r="BU82" s="23"/>
      <c r="BV82" s="23"/>
      <c r="BW82" s="15"/>
      <c r="BX82" s="43" t="s">
        <v>226</v>
      </c>
      <c r="BY82" s="15" t="str">
        <f>"Approx "&amp;TEXT((2*AA82),0)&amp;" (2*SP)"</f>
        <v>Approx 4 (2*SP)</v>
      </c>
      <c r="BZ82" s="51" t="s">
        <v>254</v>
      </c>
    </row>
    <row r="83" spans="1:78" s="30" customFormat="1" ht="26.25" thickBot="1" x14ac:dyDescent="0.25">
      <c r="A83" s="14">
        <v>37</v>
      </c>
      <c r="B83" s="29" t="str">
        <f t="shared" si="22"/>
        <v>EMITTER_37</v>
      </c>
      <c r="C83" s="29">
        <f t="shared" si="28"/>
        <v>185</v>
      </c>
      <c r="D83" s="12">
        <f t="shared" si="23"/>
        <v>37001</v>
      </c>
      <c r="E83" s="12">
        <v>1</v>
      </c>
      <c r="F83" s="13" t="s">
        <v>80</v>
      </c>
      <c r="G83" s="29" t="str">
        <f t="shared" si="31"/>
        <v>Z037Z</v>
      </c>
      <c r="H83" s="13" t="s">
        <v>24</v>
      </c>
      <c r="I83" s="13"/>
      <c r="J83" s="13"/>
      <c r="K83" s="13"/>
      <c r="L83" s="14">
        <v>5000</v>
      </c>
      <c r="M83" s="14">
        <v>5050</v>
      </c>
      <c r="N83" s="29">
        <f t="shared" si="29"/>
        <v>50</v>
      </c>
      <c r="O83" s="29">
        <f t="shared" si="24"/>
        <v>50</v>
      </c>
      <c r="P83" s="15" t="s">
        <v>6</v>
      </c>
      <c r="Q83" s="15"/>
      <c r="R83" s="113">
        <v>800</v>
      </c>
      <c r="S83" s="101">
        <v>1100</v>
      </c>
      <c r="T83" s="13">
        <f t="shared" si="25"/>
        <v>300</v>
      </c>
      <c r="U83" s="15" t="s">
        <v>11</v>
      </c>
      <c r="V83" s="15" t="s">
        <v>125</v>
      </c>
      <c r="W83" s="113">
        <v>1</v>
      </c>
      <c r="X83" s="113">
        <v>1</v>
      </c>
      <c r="Y83" s="13">
        <f t="shared" si="26"/>
        <v>0</v>
      </c>
      <c r="Z83" s="13">
        <v>4</v>
      </c>
      <c r="AA83" s="13">
        <v>4</v>
      </c>
      <c r="AB83" s="59" t="s">
        <v>316</v>
      </c>
      <c r="AC83" s="23">
        <v>0</v>
      </c>
      <c r="AD83" s="47">
        <v>360</v>
      </c>
      <c r="AE83" s="23">
        <v>0</v>
      </c>
      <c r="AF83" s="23">
        <v>0</v>
      </c>
      <c r="AG83" s="14">
        <v>3</v>
      </c>
      <c r="AH83" s="47">
        <v>3</v>
      </c>
      <c r="AI83" s="23">
        <v>0</v>
      </c>
      <c r="AJ83" s="23">
        <v>0</v>
      </c>
      <c r="AK83" s="23">
        <v>0</v>
      </c>
      <c r="AL83" s="14">
        <v>105</v>
      </c>
      <c r="AM83" s="23">
        <v>20</v>
      </c>
      <c r="AN83" s="23">
        <v>0</v>
      </c>
      <c r="AO83" s="23">
        <v>0</v>
      </c>
      <c r="AP83" s="23">
        <v>0</v>
      </c>
      <c r="AQ83" s="23">
        <v>0</v>
      </c>
      <c r="AR83" s="23">
        <v>0</v>
      </c>
      <c r="AS83" s="23">
        <v>0</v>
      </c>
      <c r="AT83" s="23">
        <v>0</v>
      </c>
      <c r="AU83" s="23">
        <v>0</v>
      </c>
      <c r="AV83" s="23">
        <v>0</v>
      </c>
      <c r="AW83" s="23">
        <v>1</v>
      </c>
      <c r="AX83" s="23">
        <v>0</v>
      </c>
      <c r="AY83" s="23">
        <v>1</v>
      </c>
      <c r="AZ83" s="23">
        <v>0</v>
      </c>
      <c r="BA83" s="29">
        <v>1</v>
      </c>
      <c r="BB83" s="23">
        <v>0</v>
      </c>
      <c r="BC83" s="23">
        <v>1</v>
      </c>
      <c r="BD83" s="23">
        <v>0.9</v>
      </c>
      <c r="BE83" s="47">
        <v>20</v>
      </c>
      <c r="BF83" s="23">
        <v>0</v>
      </c>
      <c r="BG83" s="23">
        <v>0</v>
      </c>
      <c r="BH83" s="23">
        <v>0</v>
      </c>
      <c r="BI83" s="14" t="s">
        <v>133</v>
      </c>
      <c r="BJ83" s="14">
        <v>6</v>
      </c>
      <c r="BK83" s="14" t="s">
        <v>25</v>
      </c>
      <c r="BL83" s="23"/>
      <c r="BM83" s="14">
        <v>1</v>
      </c>
      <c r="BN83" s="14"/>
      <c r="BO83" s="14"/>
      <c r="BP83" s="14"/>
      <c r="BQ83" s="13"/>
      <c r="BR83" s="14"/>
      <c r="BS83" s="14"/>
      <c r="BT83" s="13"/>
      <c r="BU83" s="13"/>
      <c r="BV83" s="13"/>
      <c r="BW83" s="15"/>
      <c r="BX83" s="43" t="s">
        <v>226</v>
      </c>
      <c r="BY83" s="15" t="str">
        <f t="shared" ref="BY83:BY88" si="32">"Approx "&amp;TEXT((3*AA83),0)&amp;" (3*SP)"</f>
        <v>Approx 12 (3*SP)</v>
      </c>
      <c r="BZ83" s="51" t="s">
        <v>254</v>
      </c>
    </row>
    <row r="84" spans="1:78" s="75" customFormat="1" ht="37.5" customHeight="1" thickBot="1" x14ac:dyDescent="0.25">
      <c r="A84" s="52">
        <v>38</v>
      </c>
      <c r="B84" s="53" t="str">
        <f t="shared" si="22"/>
        <v>EMITTER_38</v>
      </c>
      <c r="C84" s="53">
        <f t="shared" si="28"/>
        <v>190</v>
      </c>
      <c r="D84" s="12">
        <f t="shared" si="23"/>
        <v>38001</v>
      </c>
      <c r="E84" s="54">
        <v>1</v>
      </c>
      <c r="F84" s="55" t="s">
        <v>52</v>
      </c>
      <c r="G84" s="53" t="str">
        <f t="shared" si="31"/>
        <v>Z038Z</v>
      </c>
      <c r="H84" s="55" t="s">
        <v>27</v>
      </c>
      <c r="I84" s="55"/>
      <c r="J84" s="55"/>
      <c r="K84" s="55"/>
      <c r="L84" s="52">
        <v>850</v>
      </c>
      <c r="M84" s="52">
        <v>900</v>
      </c>
      <c r="N84" s="53">
        <f t="shared" si="29"/>
        <v>50</v>
      </c>
      <c r="O84" s="29">
        <f t="shared" si="24"/>
        <v>50</v>
      </c>
      <c r="P84" s="56" t="s">
        <v>31</v>
      </c>
      <c r="Q84" s="56" t="s">
        <v>207</v>
      </c>
      <c r="R84" s="114">
        <v>1800</v>
      </c>
      <c r="S84" s="102">
        <v>1900</v>
      </c>
      <c r="T84" s="55">
        <f t="shared" si="25"/>
        <v>100</v>
      </c>
      <c r="U84" s="56" t="s">
        <v>6</v>
      </c>
      <c r="V84" s="56"/>
      <c r="W84" s="114">
        <v>1</v>
      </c>
      <c r="X84" s="114">
        <v>1</v>
      </c>
      <c r="Y84" s="55">
        <f t="shared" si="26"/>
        <v>0</v>
      </c>
      <c r="Z84" s="55">
        <v>20</v>
      </c>
      <c r="AA84" s="55">
        <v>20</v>
      </c>
      <c r="AB84" s="59" t="s">
        <v>316</v>
      </c>
      <c r="AC84" s="57">
        <v>0</v>
      </c>
      <c r="AD84" s="58">
        <v>360</v>
      </c>
      <c r="AE84" s="57">
        <v>0</v>
      </c>
      <c r="AF84" s="57">
        <v>0</v>
      </c>
      <c r="AG84" s="52">
        <v>3</v>
      </c>
      <c r="AH84" s="57">
        <v>5</v>
      </c>
      <c r="AI84" s="57">
        <v>0</v>
      </c>
      <c r="AJ84" s="57">
        <v>0</v>
      </c>
      <c r="AK84" s="57" t="s">
        <v>214</v>
      </c>
      <c r="AL84" s="52">
        <v>100</v>
      </c>
      <c r="AM84" s="57">
        <v>20</v>
      </c>
      <c r="AN84" s="57">
        <v>0</v>
      </c>
      <c r="AO84" s="57">
        <v>0</v>
      </c>
      <c r="AP84" s="57">
        <v>0</v>
      </c>
      <c r="AQ84" s="57">
        <v>0</v>
      </c>
      <c r="AR84" s="58">
        <v>0</v>
      </c>
      <c r="AS84" s="58">
        <v>0</v>
      </c>
      <c r="AT84" s="57">
        <v>0</v>
      </c>
      <c r="AU84" s="57">
        <v>0</v>
      </c>
      <c r="AV84" s="57">
        <v>0</v>
      </c>
      <c r="AW84" s="57">
        <v>1</v>
      </c>
      <c r="AX84" s="57">
        <v>0</v>
      </c>
      <c r="AY84" s="57">
        <v>1</v>
      </c>
      <c r="AZ84" s="57">
        <v>0</v>
      </c>
      <c r="BA84" s="53">
        <v>1</v>
      </c>
      <c r="BB84" s="57">
        <v>0</v>
      </c>
      <c r="BC84" s="57">
        <v>0</v>
      </c>
      <c r="BD84" s="57">
        <v>0.9</v>
      </c>
      <c r="BE84" s="57">
        <f>2*BI84</f>
        <v>12</v>
      </c>
      <c r="BF84" s="57">
        <v>0</v>
      </c>
      <c r="BG84" s="57">
        <v>0</v>
      </c>
      <c r="BH84" s="57">
        <v>0</v>
      </c>
      <c r="BI84" s="52">
        <v>6</v>
      </c>
      <c r="BJ84" s="52">
        <v>6</v>
      </c>
      <c r="BK84" s="52" t="s">
        <v>25</v>
      </c>
      <c r="BL84" s="65"/>
      <c r="BM84" s="52">
        <v>1</v>
      </c>
      <c r="BN84" s="52"/>
      <c r="BO84" s="52"/>
      <c r="BP84" s="52"/>
      <c r="BQ84" s="55"/>
      <c r="BR84" s="52"/>
      <c r="BS84" s="52"/>
      <c r="BT84" s="55"/>
      <c r="BU84" s="55"/>
      <c r="BV84" s="55"/>
      <c r="BW84" s="56"/>
      <c r="BX84" s="60" t="s">
        <v>226</v>
      </c>
      <c r="BY84" s="56" t="str">
        <f t="shared" si="32"/>
        <v>Approx 60 (3*SP)</v>
      </c>
      <c r="BZ84" s="62" t="s">
        <v>254</v>
      </c>
    </row>
    <row r="85" spans="1:78" s="30" customFormat="1" ht="26.25" thickBot="1" x14ac:dyDescent="0.25">
      <c r="A85" s="14">
        <v>39</v>
      </c>
      <c r="B85" s="29" t="str">
        <f t="shared" si="22"/>
        <v>EMITTER_39</v>
      </c>
      <c r="C85" s="29">
        <f t="shared" si="28"/>
        <v>195</v>
      </c>
      <c r="D85" s="12">
        <f t="shared" si="23"/>
        <v>39001</v>
      </c>
      <c r="E85" s="12">
        <v>1</v>
      </c>
      <c r="F85" s="13" t="s">
        <v>75</v>
      </c>
      <c r="G85" s="29" t="str">
        <f t="shared" si="31"/>
        <v>Z039Z</v>
      </c>
      <c r="H85" s="13" t="s">
        <v>28</v>
      </c>
      <c r="I85" s="13"/>
      <c r="J85" s="13"/>
      <c r="K85" s="13"/>
      <c r="L85" s="14">
        <v>2700</v>
      </c>
      <c r="M85" s="14">
        <v>2750</v>
      </c>
      <c r="N85" s="29">
        <f t="shared" si="29"/>
        <v>50</v>
      </c>
      <c r="O85" s="29">
        <f t="shared" si="24"/>
        <v>50</v>
      </c>
      <c r="P85" s="15" t="s">
        <v>6</v>
      </c>
      <c r="Q85" s="15"/>
      <c r="R85" s="113">
        <v>3000</v>
      </c>
      <c r="S85" s="101">
        <v>3050</v>
      </c>
      <c r="T85" s="13">
        <f t="shared" si="25"/>
        <v>50</v>
      </c>
      <c r="U85" s="15" t="s">
        <v>6</v>
      </c>
      <c r="V85" s="15"/>
      <c r="W85" s="113">
        <v>4</v>
      </c>
      <c r="X85" s="113">
        <v>4</v>
      </c>
      <c r="Y85" s="13">
        <f t="shared" si="26"/>
        <v>0</v>
      </c>
      <c r="Z85" s="13">
        <v>30</v>
      </c>
      <c r="AA85" s="13">
        <v>30</v>
      </c>
      <c r="AB85" s="59" t="s">
        <v>316</v>
      </c>
      <c r="AC85" s="23">
        <v>0</v>
      </c>
      <c r="AD85" s="47">
        <v>360</v>
      </c>
      <c r="AE85" s="23">
        <v>0</v>
      </c>
      <c r="AF85" s="23">
        <v>0</v>
      </c>
      <c r="AG85" s="14">
        <v>3</v>
      </c>
      <c r="AH85" s="47">
        <v>2</v>
      </c>
      <c r="AI85" s="23">
        <v>0</v>
      </c>
      <c r="AJ85" s="23">
        <v>0</v>
      </c>
      <c r="AK85" s="23">
        <v>0</v>
      </c>
      <c r="AL85" s="14">
        <v>105</v>
      </c>
      <c r="AM85" s="23">
        <v>20</v>
      </c>
      <c r="AN85" s="23">
        <v>0</v>
      </c>
      <c r="AO85" s="23">
        <v>0</v>
      </c>
      <c r="AP85" s="23">
        <v>0</v>
      </c>
      <c r="AQ85" s="23">
        <v>0</v>
      </c>
      <c r="AR85" s="23">
        <v>0</v>
      </c>
      <c r="AS85" s="47">
        <v>30</v>
      </c>
      <c r="AT85" s="23">
        <v>0</v>
      </c>
      <c r="AU85" s="23">
        <v>0</v>
      </c>
      <c r="AV85" s="23">
        <v>0</v>
      </c>
      <c r="AW85" s="23">
        <v>1</v>
      </c>
      <c r="AX85" s="23">
        <v>0</v>
      </c>
      <c r="AY85" s="23">
        <v>1</v>
      </c>
      <c r="AZ85" s="47">
        <v>5</v>
      </c>
      <c r="BA85" s="29">
        <v>1</v>
      </c>
      <c r="BB85" s="23">
        <v>0</v>
      </c>
      <c r="BC85" s="23">
        <v>1</v>
      </c>
      <c r="BD85" s="23">
        <v>0.9</v>
      </c>
      <c r="BE85" s="47">
        <v>20</v>
      </c>
      <c r="BF85" s="23">
        <v>0</v>
      </c>
      <c r="BG85" s="23">
        <v>0</v>
      </c>
      <c r="BH85" s="23">
        <v>0</v>
      </c>
      <c r="BI85" s="14" t="s">
        <v>133</v>
      </c>
      <c r="BJ85" s="14">
        <v>6</v>
      </c>
      <c r="BK85" s="14" t="s">
        <v>25</v>
      </c>
      <c r="BL85" s="23"/>
      <c r="BM85" s="14">
        <v>1</v>
      </c>
      <c r="BN85" s="14"/>
      <c r="BO85" s="14"/>
      <c r="BP85" s="14"/>
      <c r="BQ85" s="13"/>
      <c r="BR85" s="14"/>
      <c r="BS85" s="14"/>
      <c r="BT85" s="13"/>
      <c r="BU85" s="23"/>
      <c r="BV85" s="23"/>
      <c r="BW85" s="39"/>
      <c r="BX85" s="43" t="s">
        <v>226</v>
      </c>
      <c r="BY85" s="15" t="str">
        <f t="shared" si="32"/>
        <v>Approx 90 (3*SP)</v>
      </c>
      <c r="BZ85" s="51" t="s">
        <v>254</v>
      </c>
    </row>
    <row r="86" spans="1:78" s="30" customFormat="1" ht="26.25" thickBot="1" x14ac:dyDescent="0.25">
      <c r="A86" s="14">
        <v>39</v>
      </c>
      <c r="B86" s="29" t="str">
        <f t="shared" si="22"/>
        <v>EMITTER_39</v>
      </c>
      <c r="C86" s="29">
        <f t="shared" si="28"/>
        <v>195</v>
      </c>
      <c r="D86" s="12">
        <f t="shared" si="23"/>
        <v>39002</v>
      </c>
      <c r="E86" s="12">
        <v>2</v>
      </c>
      <c r="F86" s="13" t="s">
        <v>75</v>
      </c>
      <c r="G86" s="29" t="str">
        <f t="shared" si="31"/>
        <v>Z039Z</v>
      </c>
      <c r="H86" s="13" t="s">
        <v>28</v>
      </c>
      <c r="I86" s="13"/>
      <c r="J86" s="13"/>
      <c r="K86" s="13"/>
      <c r="L86" s="14">
        <v>2700</v>
      </c>
      <c r="M86" s="14">
        <v>2750</v>
      </c>
      <c r="N86" s="29">
        <f t="shared" si="29"/>
        <v>50</v>
      </c>
      <c r="O86" s="29">
        <f t="shared" si="24"/>
        <v>50</v>
      </c>
      <c r="P86" s="15" t="s">
        <v>6</v>
      </c>
      <c r="Q86" s="15"/>
      <c r="R86" s="113">
        <v>2900</v>
      </c>
      <c r="S86" s="101">
        <v>2950</v>
      </c>
      <c r="T86" s="13">
        <f t="shared" si="25"/>
        <v>50</v>
      </c>
      <c r="U86" s="15" t="s">
        <v>6</v>
      </c>
      <c r="V86" s="15"/>
      <c r="W86" s="113">
        <v>4</v>
      </c>
      <c r="X86" s="113">
        <v>4</v>
      </c>
      <c r="Y86" s="13">
        <f t="shared" si="26"/>
        <v>0</v>
      </c>
      <c r="Z86" s="13">
        <v>6</v>
      </c>
      <c r="AA86" s="13">
        <v>6</v>
      </c>
      <c r="AB86" s="59" t="s">
        <v>316</v>
      </c>
      <c r="AC86" s="23">
        <v>0</v>
      </c>
      <c r="AD86" s="47">
        <v>360</v>
      </c>
      <c r="AE86" s="23">
        <v>0</v>
      </c>
      <c r="AF86" s="23">
        <v>0</v>
      </c>
      <c r="AG86" s="14">
        <v>3</v>
      </c>
      <c r="AH86" s="47">
        <v>2</v>
      </c>
      <c r="AI86" s="23">
        <v>0</v>
      </c>
      <c r="AJ86" s="23">
        <v>0</v>
      </c>
      <c r="AK86" s="23">
        <v>0</v>
      </c>
      <c r="AL86" s="14">
        <v>105</v>
      </c>
      <c r="AM86" s="23">
        <v>20</v>
      </c>
      <c r="AN86" s="23">
        <v>0</v>
      </c>
      <c r="AO86" s="23">
        <v>0</v>
      </c>
      <c r="AP86" s="23">
        <v>0</v>
      </c>
      <c r="AQ86" s="23">
        <v>0</v>
      </c>
      <c r="AR86" s="23">
        <v>0</v>
      </c>
      <c r="AS86" s="47">
        <v>30</v>
      </c>
      <c r="AT86" s="23">
        <v>0</v>
      </c>
      <c r="AU86" s="23">
        <v>0</v>
      </c>
      <c r="AV86" s="23">
        <v>0</v>
      </c>
      <c r="AW86" s="23">
        <v>1</v>
      </c>
      <c r="AX86" s="23">
        <v>0</v>
      </c>
      <c r="AY86" s="23">
        <v>1</v>
      </c>
      <c r="AZ86" s="47">
        <v>5</v>
      </c>
      <c r="BA86" s="29">
        <v>1</v>
      </c>
      <c r="BB86" s="23">
        <v>0</v>
      </c>
      <c r="BC86" s="23">
        <v>1</v>
      </c>
      <c r="BD86" s="23">
        <v>0.9</v>
      </c>
      <c r="BE86" s="47">
        <v>20</v>
      </c>
      <c r="BF86" s="23">
        <v>0</v>
      </c>
      <c r="BG86" s="23">
        <v>0</v>
      </c>
      <c r="BH86" s="23">
        <v>0</v>
      </c>
      <c r="BI86" s="14" t="s">
        <v>133</v>
      </c>
      <c r="BJ86" s="14">
        <v>6</v>
      </c>
      <c r="BK86" s="14" t="s">
        <v>25</v>
      </c>
      <c r="BL86" s="23"/>
      <c r="BM86" s="14"/>
      <c r="BN86" s="14"/>
      <c r="BO86" s="14"/>
      <c r="BP86" s="14">
        <v>1</v>
      </c>
      <c r="BQ86" s="13"/>
      <c r="BR86" s="14">
        <v>1</v>
      </c>
      <c r="BS86" s="14"/>
      <c r="BT86" s="13"/>
      <c r="BU86" s="23"/>
      <c r="BV86" s="23"/>
      <c r="BW86" s="39"/>
      <c r="BX86" s="43" t="s">
        <v>226</v>
      </c>
      <c r="BY86" s="15" t="str">
        <f t="shared" si="32"/>
        <v>Approx 18 (3*SP)</v>
      </c>
      <c r="BZ86" s="51" t="s">
        <v>254</v>
      </c>
    </row>
    <row r="87" spans="1:78" s="30" customFormat="1" ht="26.25" thickBot="1" x14ac:dyDescent="0.25">
      <c r="A87" s="14">
        <v>39</v>
      </c>
      <c r="B87" s="29" t="str">
        <f t="shared" si="22"/>
        <v>EMITTER_39</v>
      </c>
      <c r="C87" s="29">
        <f t="shared" si="28"/>
        <v>195</v>
      </c>
      <c r="D87" s="12">
        <f t="shared" si="23"/>
        <v>39003</v>
      </c>
      <c r="E87" s="12">
        <v>3</v>
      </c>
      <c r="F87" s="13" t="s">
        <v>75</v>
      </c>
      <c r="G87" s="29" t="str">
        <f t="shared" si="31"/>
        <v>Z039Z</v>
      </c>
      <c r="H87" s="13" t="s">
        <v>28</v>
      </c>
      <c r="I87" s="13"/>
      <c r="J87" s="13"/>
      <c r="K87" s="13"/>
      <c r="L87" s="14">
        <v>2700</v>
      </c>
      <c r="M87" s="14">
        <v>2750</v>
      </c>
      <c r="N87" s="29">
        <f t="shared" si="29"/>
        <v>50</v>
      </c>
      <c r="O87" s="29">
        <f t="shared" si="24"/>
        <v>50</v>
      </c>
      <c r="P87" s="15" t="s">
        <v>6</v>
      </c>
      <c r="Q87" s="15"/>
      <c r="R87" s="113">
        <v>2850</v>
      </c>
      <c r="S87" s="101">
        <v>2900</v>
      </c>
      <c r="T87" s="13">
        <f t="shared" si="25"/>
        <v>50</v>
      </c>
      <c r="U87" s="15" t="s">
        <v>6</v>
      </c>
      <c r="V87" s="15"/>
      <c r="W87" s="113">
        <v>4</v>
      </c>
      <c r="X87" s="113">
        <v>4</v>
      </c>
      <c r="Y87" s="13">
        <f t="shared" si="26"/>
        <v>0</v>
      </c>
      <c r="Z87" s="13">
        <v>18</v>
      </c>
      <c r="AA87" s="13">
        <v>18</v>
      </c>
      <c r="AB87" s="59" t="s">
        <v>316</v>
      </c>
      <c r="AC87" s="23">
        <v>0</v>
      </c>
      <c r="AD87" s="47">
        <v>360</v>
      </c>
      <c r="AE87" s="23">
        <v>0</v>
      </c>
      <c r="AF87" s="23">
        <v>0</v>
      </c>
      <c r="AG87" s="14">
        <v>3</v>
      </c>
      <c r="AH87" s="47">
        <v>2</v>
      </c>
      <c r="AI87" s="23">
        <v>0</v>
      </c>
      <c r="AJ87" s="23">
        <v>0</v>
      </c>
      <c r="AK87" s="23">
        <v>0</v>
      </c>
      <c r="AL87" s="14">
        <v>105</v>
      </c>
      <c r="AM87" s="23">
        <v>20</v>
      </c>
      <c r="AN87" s="23">
        <v>0</v>
      </c>
      <c r="AO87" s="23">
        <v>0</v>
      </c>
      <c r="AP87" s="23">
        <v>0</v>
      </c>
      <c r="AQ87" s="23">
        <v>0</v>
      </c>
      <c r="AR87" s="23">
        <v>0</v>
      </c>
      <c r="AS87" s="47">
        <v>30</v>
      </c>
      <c r="AT87" s="23">
        <v>0</v>
      </c>
      <c r="AU87" s="23">
        <v>0</v>
      </c>
      <c r="AV87" s="23">
        <v>0</v>
      </c>
      <c r="AW87" s="23">
        <v>1</v>
      </c>
      <c r="AX87" s="23">
        <v>0</v>
      </c>
      <c r="AY87" s="23">
        <v>1</v>
      </c>
      <c r="AZ87" s="47">
        <v>5</v>
      </c>
      <c r="BA87" s="29">
        <v>1</v>
      </c>
      <c r="BB87" s="23">
        <v>0</v>
      </c>
      <c r="BC87" s="23">
        <v>1</v>
      </c>
      <c r="BD87" s="23">
        <v>0.9</v>
      </c>
      <c r="BE87" s="47">
        <v>20</v>
      </c>
      <c r="BF87" s="23">
        <v>0</v>
      </c>
      <c r="BG87" s="23">
        <v>0</v>
      </c>
      <c r="BH87" s="23">
        <v>0</v>
      </c>
      <c r="BI87" s="14" t="s">
        <v>133</v>
      </c>
      <c r="BJ87" s="14">
        <v>6</v>
      </c>
      <c r="BK87" s="14" t="s">
        <v>25</v>
      </c>
      <c r="BL87" s="23"/>
      <c r="BM87" s="14">
        <v>1</v>
      </c>
      <c r="BN87" s="14"/>
      <c r="BO87" s="14"/>
      <c r="BP87" s="14"/>
      <c r="BQ87" s="13"/>
      <c r="BR87" s="14"/>
      <c r="BS87" s="14"/>
      <c r="BT87" s="13"/>
      <c r="BU87" s="13"/>
      <c r="BV87" s="13"/>
      <c r="BW87" s="39"/>
      <c r="BX87" s="43" t="s">
        <v>226</v>
      </c>
      <c r="BY87" s="15" t="str">
        <f t="shared" si="32"/>
        <v>Approx 54 (3*SP)</v>
      </c>
      <c r="BZ87" s="51" t="s">
        <v>254</v>
      </c>
    </row>
    <row r="88" spans="1:78" s="30" customFormat="1" ht="26.25" thickBot="1" x14ac:dyDescent="0.25">
      <c r="A88" s="14">
        <v>39</v>
      </c>
      <c r="B88" s="29" t="str">
        <f t="shared" si="22"/>
        <v>EMITTER_39</v>
      </c>
      <c r="C88" s="29">
        <f t="shared" si="28"/>
        <v>195</v>
      </c>
      <c r="D88" s="12">
        <f t="shared" si="23"/>
        <v>39004</v>
      </c>
      <c r="E88" s="12">
        <v>4</v>
      </c>
      <c r="F88" s="13" t="s">
        <v>75</v>
      </c>
      <c r="G88" s="29" t="str">
        <f t="shared" si="31"/>
        <v>Z039Z</v>
      </c>
      <c r="H88" s="13" t="s">
        <v>28</v>
      </c>
      <c r="I88" s="13"/>
      <c r="J88" s="13"/>
      <c r="K88" s="13"/>
      <c r="L88" s="14">
        <v>2700</v>
      </c>
      <c r="M88" s="14">
        <v>2750</v>
      </c>
      <c r="N88" s="29">
        <f t="shared" si="29"/>
        <v>50</v>
      </c>
      <c r="O88" s="29">
        <f t="shared" si="24"/>
        <v>50</v>
      </c>
      <c r="P88" s="15" t="s">
        <v>6</v>
      </c>
      <c r="Q88" s="15"/>
      <c r="R88" s="113">
        <v>3000</v>
      </c>
      <c r="S88" s="101">
        <v>3050</v>
      </c>
      <c r="T88" s="13">
        <f t="shared" si="25"/>
        <v>50</v>
      </c>
      <c r="U88" s="15" t="s">
        <v>6</v>
      </c>
      <c r="V88" s="15"/>
      <c r="W88" s="113">
        <v>4</v>
      </c>
      <c r="X88" s="113">
        <v>4</v>
      </c>
      <c r="Y88" s="13">
        <f t="shared" si="26"/>
        <v>0</v>
      </c>
      <c r="Z88" s="13">
        <v>12</v>
      </c>
      <c r="AA88" s="13">
        <v>12</v>
      </c>
      <c r="AB88" s="59" t="s">
        <v>316</v>
      </c>
      <c r="AC88" s="23">
        <v>0</v>
      </c>
      <c r="AD88" s="47">
        <v>360</v>
      </c>
      <c r="AE88" s="23">
        <v>0</v>
      </c>
      <c r="AF88" s="23">
        <v>0</v>
      </c>
      <c r="AG88" s="14">
        <v>3</v>
      </c>
      <c r="AH88" s="47">
        <v>2</v>
      </c>
      <c r="AI88" s="23">
        <v>0</v>
      </c>
      <c r="AJ88" s="23">
        <v>0</v>
      </c>
      <c r="AK88" s="23"/>
      <c r="AL88" s="14">
        <v>105</v>
      </c>
      <c r="AM88" s="23">
        <v>20</v>
      </c>
      <c r="AN88" s="23">
        <v>0</v>
      </c>
      <c r="AO88" s="23">
        <v>0</v>
      </c>
      <c r="AP88" s="23">
        <v>0</v>
      </c>
      <c r="AQ88" s="23">
        <v>0</v>
      </c>
      <c r="AR88" s="23">
        <v>0</v>
      </c>
      <c r="AS88" s="47">
        <v>30</v>
      </c>
      <c r="AT88" s="23">
        <v>0</v>
      </c>
      <c r="AU88" s="23">
        <v>0</v>
      </c>
      <c r="AV88" s="23">
        <v>0</v>
      </c>
      <c r="AW88" s="23">
        <v>1</v>
      </c>
      <c r="AX88" s="23">
        <v>0</v>
      </c>
      <c r="AY88" s="23">
        <v>1</v>
      </c>
      <c r="AZ88" s="47">
        <v>5</v>
      </c>
      <c r="BA88" s="29">
        <v>1</v>
      </c>
      <c r="BB88" s="23">
        <v>0</v>
      </c>
      <c r="BC88" s="23">
        <v>1</v>
      </c>
      <c r="BD88" s="23">
        <v>0.9</v>
      </c>
      <c r="BE88" s="47">
        <v>20</v>
      </c>
      <c r="BF88" s="23">
        <v>0</v>
      </c>
      <c r="BG88" s="23">
        <v>0</v>
      </c>
      <c r="BH88" s="23">
        <v>0</v>
      </c>
      <c r="BI88" s="14" t="s">
        <v>133</v>
      </c>
      <c r="BJ88" s="14">
        <v>6</v>
      </c>
      <c r="BK88" s="14" t="s">
        <v>25</v>
      </c>
      <c r="BL88" s="23"/>
      <c r="BM88" s="14"/>
      <c r="BN88" s="14"/>
      <c r="BO88" s="14"/>
      <c r="BP88" s="14"/>
      <c r="BQ88" s="13"/>
      <c r="BR88" s="14"/>
      <c r="BS88" s="14"/>
      <c r="BT88" s="13"/>
      <c r="BU88" s="13"/>
      <c r="BV88" s="13"/>
      <c r="BW88" s="39"/>
      <c r="BX88" s="43" t="s">
        <v>226</v>
      </c>
      <c r="BY88" s="15" t="str">
        <f t="shared" si="32"/>
        <v>Approx 36 (3*SP)</v>
      </c>
      <c r="BZ88" s="51" t="s">
        <v>254</v>
      </c>
    </row>
    <row r="89" spans="1:78" s="75" customFormat="1" ht="26.25" thickBot="1" x14ac:dyDescent="0.25">
      <c r="A89" s="52">
        <v>40</v>
      </c>
      <c r="B89" s="53" t="str">
        <f t="shared" si="22"/>
        <v>EMITTER_40</v>
      </c>
      <c r="C89" s="53">
        <f t="shared" si="28"/>
        <v>200</v>
      </c>
      <c r="D89" s="12">
        <f t="shared" si="23"/>
        <v>40001</v>
      </c>
      <c r="E89" s="54">
        <v>1</v>
      </c>
      <c r="F89" s="55" t="s">
        <v>79</v>
      </c>
      <c r="G89" s="53" t="str">
        <f t="shared" si="31"/>
        <v>Z040Z</v>
      </c>
      <c r="H89" s="55" t="s">
        <v>24</v>
      </c>
      <c r="I89" s="55"/>
      <c r="J89" s="55"/>
      <c r="K89" s="55"/>
      <c r="L89" s="52">
        <v>4600</v>
      </c>
      <c r="M89" s="52">
        <v>4660</v>
      </c>
      <c r="N89" s="53">
        <f t="shared" si="29"/>
        <v>60</v>
      </c>
      <c r="O89" s="29">
        <f t="shared" si="24"/>
        <v>60</v>
      </c>
      <c r="P89" s="56" t="s">
        <v>6</v>
      </c>
      <c r="Q89" s="56"/>
      <c r="R89" s="114">
        <v>600</v>
      </c>
      <c r="S89" s="102">
        <v>630</v>
      </c>
      <c r="T89" s="55">
        <f t="shared" si="25"/>
        <v>30</v>
      </c>
      <c r="U89" s="56" t="s">
        <v>11</v>
      </c>
      <c r="V89" s="56" t="s">
        <v>126</v>
      </c>
      <c r="W89" s="114">
        <v>2</v>
      </c>
      <c r="X89" s="114">
        <v>20</v>
      </c>
      <c r="Y89" s="55">
        <f t="shared" si="26"/>
        <v>18</v>
      </c>
      <c r="Z89" s="55">
        <v>15</v>
      </c>
      <c r="AA89" s="55">
        <v>15</v>
      </c>
      <c r="AB89" s="59" t="s">
        <v>316</v>
      </c>
      <c r="AC89" s="57">
        <v>0</v>
      </c>
      <c r="AD89" s="58">
        <v>360</v>
      </c>
      <c r="AE89" s="57">
        <v>0</v>
      </c>
      <c r="AF89" s="58">
        <v>0</v>
      </c>
      <c r="AG89" s="52">
        <v>2</v>
      </c>
      <c r="AH89" s="57">
        <v>6</v>
      </c>
      <c r="AI89" s="57">
        <v>0</v>
      </c>
      <c r="AJ89" s="57">
        <v>0</v>
      </c>
      <c r="AK89" s="57">
        <v>0</v>
      </c>
      <c r="AL89" s="52">
        <v>115</v>
      </c>
      <c r="AM89" s="57">
        <v>15</v>
      </c>
      <c r="AN89" s="57">
        <v>0</v>
      </c>
      <c r="AO89" s="57">
        <v>0</v>
      </c>
      <c r="AP89" s="57">
        <v>0</v>
      </c>
      <c r="AQ89" s="57">
        <v>0</v>
      </c>
      <c r="AR89" s="57">
        <v>0</v>
      </c>
      <c r="AS89" s="57">
        <v>0</v>
      </c>
      <c r="AT89" s="57">
        <v>0</v>
      </c>
      <c r="AU89" s="57">
        <v>0</v>
      </c>
      <c r="AV89" s="57">
        <v>0</v>
      </c>
      <c r="AW89" s="57">
        <v>1</v>
      </c>
      <c r="AX89" s="57">
        <v>0</v>
      </c>
      <c r="AY89" s="57">
        <v>1</v>
      </c>
      <c r="AZ89" s="57">
        <v>0</v>
      </c>
      <c r="BA89" s="53">
        <v>1</v>
      </c>
      <c r="BB89" s="57">
        <v>0</v>
      </c>
      <c r="BC89" s="57">
        <v>0</v>
      </c>
      <c r="BD89" s="57">
        <v>0.9</v>
      </c>
      <c r="BE89" s="57">
        <f t="shared" ref="BE89:BE105" si="33">2*BI89</f>
        <v>30</v>
      </c>
      <c r="BF89" s="57">
        <v>0</v>
      </c>
      <c r="BG89" s="57">
        <v>0</v>
      </c>
      <c r="BH89" s="57">
        <v>0</v>
      </c>
      <c r="BI89" s="52">
        <v>15</v>
      </c>
      <c r="BJ89" s="52">
        <v>5</v>
      </c>
      <c r="BK89" s="52" t="s">
        <v>9</v>
      </c>
      <c r="BL89" s="65"/>
      <c r="BM89" s="52">
        <v>1</v>
      </c>
      <c r="BN89" s="52"/>
      <c r="BO89" s="52"/>
      <c r="BP89" s="52"/>
      <c r="BQ89" s="55"/>
      <c r="BR89" s="52"/>
      <c r="BS89" s="52"/>
      <c r="BT89" s="55"/>
      <c r="BU89" s="57"/>
      <c r="BV89" s="57"/>
      <c r="BW89" s="56"/>
      <c r="BX89" s="60" t="s">
        <v>226</v>
      </c>
      <c r="BY89" s="56" t="str">
        <f>"Approx "&amp;TEXT((2*AA89),0)&amp;" (2*SP)"</f>
        <v>Approx 30 (2*SP)</v>
      </c>
      <c r="BZ89" s="62" t="s">
        <v>254</v>
      </c>
    </row>
    <row r="90" spans="1:78" s="75" customFormat="1" ht="26.25" thickBot="1" x14ac:dyDescent="0.25">
      <c r="A90" s="52">
        <v>40</v>
      </c>
      <c r="B90" s="53" t="str">
        <f t="shared" si="22"/>
        <v>EMITTER_40</v>
      </c>
      <c r="C90" s="53">
        <f t="shared" si="28"/>
        <v>200</v>
      </c>
      <c r="D90" s="12">
        <f t="shared" si="23"/>
        <v>40002</v>
      </c>
      <c r="E90" s="54">
        <v>2</v>
      </c>
      <c r="F90" s="55" t="s">
        <v>79</v>
      </c>
      <c r="G90" s="53" t="str">
        <f t="shared" si="31"/>
        <v>Z040Z</v>
      </c>
      <c r="H90" s="55" t="s">
        <v>24</v>
      </c>
      <c r="I90" s="55"/>
      <c r="J90" s="55"/>
      <c r="K90" s="55"/>
      <c r="L90" s="52">
        <v>4600</v>
      </c>
      <c r="M90" s="52">
        <v>4660</v>
      </c>
      <c r="N90" s="53">
        <f t="shared" si="29"/>
        <v>60</v>
      </c>
      <c r="O90" s="29">
        <f t="shared" si="24"/>
        <v>60</v>
      </c>
      <c r="P90" s="56" t="s">
        <v>6</v>
      </c>
      <c r="Q90" s="56"/>
      <c r="R90" s="114">
        <v>640</v>
      </c>
      <c r="S90" s="106">
        <v>670</v>
      </c>
      <c r="T90" s="55">
        <f t="shared" si="25"/>
        <v>30</v>
      </c>
      <c r="U90" s="56" t="s">
        <v>11</v>
      </c>
      <c r="V90" s="56" t="s">
        <v>227</v>
      </c>
      <c r="W90" s="114">
        <v>2</v>
      </c>
      <c r="X90" s="114">
        <v>20</v>
      </c>
      <c r="Y90" s="55">
        <f t="shared" si="26"/>
        <v>18</v>
      </c>
      <c r="Z90" s="55">
        <v>15</v>
      </c>
      <c r="AA90" s="55">
        <v>15</v>
      </c>
      <c r="AB90" s="59" t="s">
        <v>316</v>
      </c>
      <c r="AC90" s="57">
        <v>0</v>
      </c>
      <c r="AD90" s="58">
        <v>360</v>
      </c>
      <c r="AE90" s="57">
        <v>0</v>
      </c>
      <c r="AF90" s="58">
        <v>0</v>
      </c>
      <c r="AG90" s="52">
        <v>2</v>
      </c>
      <c r="AH90" s="57">
        <v>6</v>
      </c>
      <c r="AI90" s="57">
        <v>0</v>
      </c>
      <c r="AJ90" s="57">
        <v>0</v>
      </c>
      <c r="AK90" s="57">
        <v>0</v>
      </c>
      <c r="AL90" s="52">
        <v>115</v>
      </c>
      <c r="AM90" s="57">
        <v>15</v>
      </c>
      <c r="AN90" s="57">
        <v>0</v>
      </c>
      <c r="AO90" s="57">
        <v>0</v>
      </c>
      <c r="AP90" s="57">
        <v>0</v>
      </c>
      <c r="AQ90" s="57">
        <v>0</v>
      </c>
      <c r="AR90" s="57">
        <v>0</v>
      </c>
      <c r="AS90" s="57">
        <v>0</v>
      </c>
      <c r="AT90" s="57">
        <v>0</v>
      </c>
      <c r="AU90" s="57">
        <v>0</v>
      </c>
      <c r="AV90" s="57">
        <v>0</v>
      </c>
      <c r="AW90" s="57">
        <v>1</v>
      </c>
      <c r="AX90" s="57">
        <v>0</v>
      </c>
      <c r="AY90" s="57">
        <v>1</v>
      </c>
      <c r="AZ90" s="57">
        <v>0</v>
      </c>
      <c r="BA90" s="53">
        <v>1</v>
      </c>
      <c r="BB90" s="57">
        <v>0</v>
      </c>
      <c r="BC90" s="57">
        <v>0</v>
      </c>
      <c r="BD90" s="57">
        <v>0.9</v>
      </c>
      <c r="BE90" s="57">
        <f t="shared" si="33"/>
        <v>30</v>
      </c>
      <c r="BF90" s="57">
        <v>0</v>
      </c>
      <c r="BG90" s="57">
        <v>0</v>
      </c>
      <c r="BH90" s="57">
        <v>0</v>
      </c>
      <c r="BI90" s="52">
        <v>15</v>
      </c>
      <c r="BJ90" s="52">
        <v>5</v>
      </c>
      <c r="BK90" s="52" t="s">
        <v>9</v>
      </c>
      <c r="BL90" s="65"/>
      <c r="BM90" s="52"/>
      <c r="BN90" s="52">
        <v>1</v>
      </c>
      <c r="BO90" s="52"/>
      <c r="BP90" s="52"/>
      <c r="BQ90" s="52"/>
      <c r="BR90" s="52">
        <v>1</v>
      </c>
      <c r="BS90" s="52"/>
      <c r="BT90" s="55"/>
      <c r="BU90" s="55"/>
      <c r="BV90" s="55"/>
      <c r="BW90" s="56"/>
      <c r="BX90" s="60" t="s">
        <v>226</v>
      </c>
      <c r="BY90" s="56" t="str">
        <f>"Approx "&amp;TEXT((2*AA90),0)&amp;" (2*SP)"</f>
        <v>Approx 30 (2*SP)</v>
      </c>
      <c r="BZ90" s="62" t="s">
        <v>254</v>
      </c>
    </row>
    <row r="91" spans="1:78" s="75" customFormat="1" ht="26.25" thickBot="1" x14ac:dyDescent="0.25">
      <c r="A91" s="52">
        <v>40</v>
      </c>
      <c r="B91" s="53" t="str">
        <f t="shared" si="22"/>
        <v>EMITTER_40</v>
      </c>
      <c r="C91" s="53">
        <f t="shared" si="28"/>
        <v>200</v>
      </c>
      <c r="D91" s="12">
        <f t="shared" si="23"/>
        <v>40003</v>
      </c>
      <c r="E91" s="54">
        <v>3</v>
      </c>
      <c r="F91" s="55" t="s">
        <v>79</v>
      </c>
      <c r="G91" s="53" t="str">
        <f t="shared" si="31"/>
        <v>Z040Z</v>
      </c>
      <c r="H91" s="55" t="s">
        <v>24</v>
      </c>
      <c r="I91" s="55"/>
      <c r="J91" s="55"/>
      <c r="K91" s="55"/>
      <c r="L91" s="52">
        <v>4600</v>
      </c>
      <c r="M91" s="52">
        <v>4660</v>
      </c>
      <c r="N91" s="53">
        <f t="shared" si="29"/>
        <v>60</v>
      </c>
      <c r="O91" s="29">
        <f t="shared" si="24"/>
        <v>60</v>
      </c>
      <c r="P91" s="56" t="s">
        <v>6</v>
      </c>
      <c r="Q91" s="56"/>
      <c r="R91" s="114">
        <v>1200</v>
      </c>
      <c r="S91" s="102">
        <v>1260</v>
      </c>
      <c r="T91" s="55">
        <f t="shared" si="25"/>
        <v>60</v>
      </c>
      <c r="U91" s="56" t="s">
        <v>11</v>
      </c>
      <c r="V91" s="56" t="s">
        <v>127</v>
      </c>
      <c r="W91" s="114">
        <v>2</v>
      </c>
      <c r="X91" s="114">
        <v>40</v>
      </c>
      <c r="Y91" s="55">
        <f t="shared" si="26"/>
        <v>38</v>
      </c>
      <c r="Z91" s="55">
        <v>5</v>
      </c>
      <c r="AA91" s="55">
        <v>5</v>
      </c>
      <c r="AB91" s="59" t="s">
        <v>316</v>
      </c>
      <c r="AC91" s="57">
        <v>0</v>
      </c>
      <c r="AD91" s="58">
        <v>360</v>
      </c>
      <c r="AE91" s="57">
        <v>0</v>
      </c>
      <c r="AF91" s="58">
        <v>0</v>
      </c>
      <c r="AG91" s="52">
        <v>2</v>
      </c>
      <c r="AH91" s="57">
        <v>6</v>
      </c>
      <c r="AI91" s="57">
        <v>0</v>
      </c>
      <c r="AJ91" s="57">
        <v>0</v>
      </c>
      <c r="AK91" s="57">
        <v>0</v>
      </c>
      <c r="AL91" s="52">
        <v>115</v>
      </c>
      <c r="AM91" s="57">
        <v>15</v>
      </c>
      <c r="AN91" s="57">
        <v>0</v>
      </c>
      <c r="AO91" s="57">
        <v>0</v>
      </c>
      <c r="AP91" s="57">
        <v>0</v>
      </c>
      <c r="AQ91" s="57">
        <v>0</v>
      </c>
      <c r="AR91" s="57">
        <v>0</v>
      </c>
      <c r="AS91" s="57">
        <v>0</v>
      </c>
      <c r="AT91" s="57">
        <v>0</v>
      </c>
      <c r="AU91" s="57">
        <v>0</v>
      </c>
      <c r="AV91" s="57">
        <v>0</v>
      </c>
      <c r="AW91" s="57">
        <v>1</v>
      </c>
      <c r="AX91" s="57">
        <v>0</v>
      </c>
      <c r="AY91" s="57">
        <v>1</v>
      </c>
      <c r="AZ91" s="57">
        <v>0</v>
      </c>
      <c r="BA91" s="53">
        <v>1</v>
      </c>
      <c r="BB91" s="57">
        <v>0</v>
      </c>
      <c r="BC91" s="57">
        <v>0</v>
      </c>
      <c r="BD91" s="57">
        <v>0.9</v>
      </c>
      <c r="BE91" s="57">
        <f t="shared" si="33"/>
        <v>30</v>
      </c>
      <c r="BF91" s="57">
        <v>0</v>
      </c>
      <c r="BG91" s="57">
        <v>0</v>
      </c>
      <c r="BH91" s="57">
        <v>0</v>
      </c>
      <c r="BI91" s="52">
        <v>15</v>
      </c>
      <c r="BJ91" s="52">
        <v>5</v>
      </c>
      <c r="BK91" s="52" t="s">
        <v>9</v>
      </c>
      <c r="BL91" s="65"/>
      <c r="BM91" s="52"/>
      <c r="BN91" s="52"/>
      <c r="BO91" s="52">
        <v>1</v>
      </c>
      <c r="BP91" s="52"/>
      <c r="BQ91" s="52"/>
      <c r="BR91" s="52"/>
      <c r="BS91" s="52"/>
      <c r="BT91" s="52">
        <v>1</v>
      </c>
      <c r="BU91" s="52">
        <v>1</v>
      </c>
      <c r="BV91" s="66"/>
      <c r="BW91" s="56"/>
      <c r="BX91" s="60" t="s">
        <v>226</v>
      </c>
      <c r="BY91" s="56" t="str">
        <f>"Approx "&amp;TEXT((2*AA91),0)&amp;" (2*SP)"</f>
        <v>Approx 10 (2*SP)</v>
      </c>
      <c r="BZ91" s="62" t="s">
        <v>254</v>
      </c>
    </row>
    <row r="92" spans="1:78" s="75" customFormat="1" ht="26.25" thickBot="1" x14ac:dyDescent="0.25">
      <c r="A92" s="52">
        <v>40</v>
      </c>
      <c r="B92" s="53" t="str">
        <f t="shared" si="22"/>
        <v>EMITTER_40</v>
      </c>
      <c r="C92" s="53">
        <f t="shared" si="28"/>
        <v>200</v>
      </c>
      <c r="D92" s="12">
        <f t="shared" si="23"/>
        <v>40004</v>
      </c>
      <c r="E92" s="54">
        <v>4</v>
      </c>
      <c r="F92" s="55" t="s">
        <v>79</v>
      </c>
      <c r="G92" s="53" t="str">
        <f t="shared" si="31"/>
        <v>Z040Z</v>
      </c>
      <c r="H92" s="55" t="s">
        <v>24</v>
      </c>
      <c r="I92" s="55"/>
      <c r="J92" s="55"/>
      <c r="K92" s="55"/>
      <c r="L92" s="52">
        <v>4600</v>
      </c>
      <c r="M92" s="52">
        <v>4660</v>
      </c>
      <c r="N92" s="53">
        <f t="shared" si="29"/>
        <v>60</v>
      </c>
      <c r="O92" s="29">
        <f t="shared" si="24"/>
        <v>60</v>
      </c>
      <c r="P92" s="56" t="s">
        <v>6</v>
      </c>
      <c r="Q92" s="56"/>
      <c r="R92" s="114">
        <v>1280</v>
      </c>
      <c r="S92" s="102">
        <v>1320</v>
      </c>
      <c r="T92" s="55">
        <f t="shared" si="25"/>
        <v>40</v>
      </c>
      <c r="U92" s="56" t="s">
        <v>11</v>
      </c>
      <c r="V92" s="56" t="s">
        <v>128</v>
      </c>
      <c r="W92" s="114">
        <v>2</v>
      </c>
      <c r="X92" s="114">
        <v>40</v>
      </c>
      <c r="Y92" s="55">
        <f t="shared" si="26"/>
        <v>38</v>
      </c>
      <c r="Z92" s="55">
        <v>5</v>
      </c>
      <c r="AA92" s="55">
        <v>5</v>
      </c>
      <c r="AB92" s="59" t="s">
        <v>316</v>
      </c>
      <c r="AC92" s="57">
        <v>0</v>
      </c>
      <c r="AD92" s="58">
        <v>360</v>
      </c>
      <c r="AE92" s="57">
        <v>0</v>
      </c>
      <c r="AF92" s="58">
        <v>0</v>
      </c>
      <c r="AG92" s="52">
        <v>2</v>
      </c>
      <c r="AH92" s="57">
        <v>6</v>
      </c>
      <c r="AI92" s="57">
        <v>0</v>
      </c>
      <c r="AJ92" s="57">
        <v>0</v>
      </c>
      <c r="AK92" s="57">
        <v>0</v>
      </c>
      <c r="AL92" s="52">
        <v>115</v>
      </c>
      <c r="AM92" s="57">
        <v>15</v>
      </c>
      <c r="AN92" s="57">
        <v>0</v>
      </c>
      <c r="AO92" s="57">
        <v>0</v>
      </c>
      <c r="AP92" s="57">
        <v>0</v>
      </c>
      <c r="AQ92" s="57">
        <v>0</v>
      </c>
      <c r="AR92" s="57">
        <v>0</v>
      </c>
      <c r="AS92" s="57">
        <v>0</v>
      </c>
      <c r="AT92" s="57">
        <v>0</v>
      </c>
      <c r="AU92" s="57">
        <v>0</v>
      </c>
      <c r="AV92" s="57">
        <v>0</v>
      </c>
      <c r="AW92" s="57">
        <v>1</v>
      </c>
      <c r="AX92" s="57">
        <v>0</v>
      </c>
      <c r="AY92" s="57">
        <v>1</v>
      </c>
      <c r="AZ92" s="57">
        <v>0</v>
      </c>
      <c r="BA92" s="53">
        <v>1</v>
      </c>
      <c r="BB92" s="57">
        <v>0</v>
      </c>
      <c r="BC92" s="57">
        <v>0</v>
      </c>
      <c r="BD92" s="57">
        <v>0.9</v>
      </c>
      <c r="BE92" s="57">
        <f t="shared" si="33"/>
        <v>30</v>
      </c>
      <c r="BF92" s="57">
        <v>0</v>
      </c>
      <c r="BG92" s="57">
        <v>0</v>
      </c>
      <c r="BH92" s="57">
        <v>0</v>
      </c>
      <c r="BI92" s="52">
        <v>15</v>
      </c>
      <c r="BJ92" s="52">
        <v>5</v>
      </c>
      <c r="BK92" s="52" t="s">
        <v>9</v>
      </c>
      <c r="BL92" s="65"/>
      <c r="BM92" s="52"/>
      <c r="BN92" s="52"/>
      <c r="BO92" s="52"/>
      <c r="BP92" s="52">
        <v>1</v>
      </c>
      <c r="BQ92" s="52"/>
      <c r="BR92" s="52"/>
      <c r="BS92" s="52">
        <v>1</v>
      </c>
      <c r="BT92" s="55"/>
      <c r="BU92" s="52"/>
      <c r="BV92" s="66"/>
      <c r="BW92" s="56"/>
      <c r="BX92" s="60" t="s">
        <v>226</v>
      </c>
      <c r="BY92" s="56" t="str">
        <f>"Approx "&amp;TEXT((2*AA92),0)&amp;" (2*SP)"</f>
        <v>Approx 10 (2*SP)</v>
      </c>
      <c r="BZ92" s="62" t="s">
        <v>254</v>
      </c>
    </row>
    <row r="93" spans="1:78" s="30" customFormat="1" ht="13.5" thickBot="1" x14ac:dyDescent="0.25">
      <c r="A93" s="29">
        <v>41</v>
      </c>
      <c r="B93" s="29" t="str">
        <f t="shared" si="22"/>
        <v>EMITTER_41</v>
      </c>
      <c r="C93" s="29">
        <f t="shared" si="28"/>
        <v>205</v>
      </c>
      <c r="D93" s="12">
        <f t="shared" si="23"/>
        <v>41001</v>
      </c>
      <c r="E93" s="29">
        <v>1</v>
      </c>
      <c r="F93" s="23" t="s">
        <v>82</v>
      </c>
      <c r="G93" s="29" t="str">
        <f t="shared" si="31"/>
        <v>Z041Z</v>
      </c>
      <c r="H93" s="23" t="s">
        <v>5</v>
      </c>
      <c r="I93" s="23"/>
      <c r="J93" s="23"/>
      <c r="K93" s="23"/>
      <c r="L93" s="29">
        <v>9000</v>
      </c>
      <c r="M93" s="29">
        <v>9059</v>
      </c>
      <c r="N93" s="29">
        <f t="shared" si="29"/>
        <v>59</v>
      </c>
      <c r="O93" s="29">
        <f t="shared" si="24"/>
        <v>59</v>
      </c>
      <c r="P93" s="50" t="s">
        <v>6</v>
      </c>
      <c r="Q93" s="50"/>
      <c r="R93" s="115">
        <v>400</v>
      </c>
      <c r="S93" s="104">
        <v>500</v>
      </c>
      <c r="T93" s="13">
        <f t="shared" si="25"/>
        <v>100</v>
      </c>
      <c r="U93" s="50" t="s">
        <v>6</v>
      </c>
      <c r="V93" s="50"/>
      <c r="W93" s="115">
        <v>13</v>
      </c>
      <c r="X93" s="115">
        <v>14</v>
      </c>
      <c r="Y93" s="13">
        <f t="shared" si="26"/>
        <v>1</v>
      </c>
      <c r="Z93" s="13">
        <v>0</v>
      </c>
      <c r="AA93" s="13">
        <v>0</v>
      </c>
      <c r="AB93" s="23" t="s">
        <v>12</v>
      </c>
      <c r="AC93" s="23">
        <v>0</v>
      </c>
      <c r="AD93" s="23">
        <v>0</v>
      </c>
      <c r="AE93" s="23">
        <v>0</v>
      </c>
      <c r="AF93" s="23">
        <v>9999</v>
      </c>
      <c r="AG93" s="14">
        <v>3</v>
      </c>
      <c r="AH93" s="23">
        <v>2</v>
      </c>
      <c r="AI93" s="23">
        <v>0</v>
      </c>
      <c r="AJ93" s="23">
        <v>0</v>
      </c>
      <c r="AK93" s="23">
        <v>0</v>
      </c>
      <c r="AL93" s="14">
        <v>105</v>
      </c>
      <c r="AM93" s="23">
        <v>20</v>
      </c>
      <c r="AN93" s="23">
        <v>0</v>
      </c>
      <c r="AO93" s="23">
        <v>0</v>
      </c>
      <c r="AP93" s="23">
        <v>0</v>
      </c>
      <c r="AQ93" s="23">
        <v>0</v>
      </c>
      <c r="AR93" s="23">
        <v>0</v>
      </c>
      <c r="AS93" s="23">
        <v>0</v>
      </c>
      <c r="AT93" s="23">
        <v>0</v>
      </c>
      <c r="AU93" s="23">
        <v>0</v>
      </c>
      <c r="AV93" s="23">
        <v>0</v>
      </c>
      <c r="AW93" s="23">
        <v>1</v>
      </c>
      <c r="AX93" s="23">
        <v>0</v>
      </c>
      <c r="AY93" s="23">
        <v>1</v>
      </c>
      <c r="AZ93" s="47">
        <v>8</v>
      </c>
      <c r="BA93" s="29">
        <v>1</v>
      </c>
      <c r="BB93" s="23">
        <v>0</v>
      </c>
      <c r="BC93" s="23">
        <v>1</v>
      </c>
      <c r="BD93" s="23">
        <v>0.9</v>
      </c>
      <c r="BE93" s="23">
        <f t="shared" si="33"/>
        <v>24</v>
      </c>
      <c r="BF93" s="23">
        <v>0</v>
      </c>
      <c r="BG93" s="23">
        <v>0</v>
      </c>
      <c r="BH93" s="23">
        <v>0</v>
      </c>
      <c r="BI93" s="14">
        <v>12</v>
      </c>
      <c r="BJ93" s="14">
        <v>3</v>
      </c>
      <c r="BK93" s="14" t="s">
        <v>9</v>
      </c>
      <c r="BL93" s="23"/>
      <c r="BM93" s="14"/>
      <c r="BN93" s="14">
        <v>1</v>
      </c>
      <c r="BO93" s="14"/>
      <c r="BP93" s="14"/>
      <c r="BQ93" s="13"/>
      <c r="BR93" s="14"/>
      <c r="BS93" s="14"/>
      <c r="BT93" s="13"/>
      <c r="BU93" s="79"/>
      <c r="BV93" s="79"/>
      <c r="BW93" s="15"/>
      <c r="BX93" s="43" t="s">
        <v>225</v>
      </c>
      <c r="BY93" s="15">
        <v>4</v>
      </c>
      <c r="BZ93" s="51" t="s">
        <v>254</v>
      </c>
    </row>
    <row r="94" spans="1:78" s="75" customFormat="1" ht="26.25" thickBot="1" x14ac:dyDescent="0.25">
      <c r="A94" s="52">
        <v>42</v>
      </c>
      <c r="B94" s="53" t="str">
        <f t="shared" si="22"/>
        <v>EMITTER_42</v>
      </c>
      <c r="C94" s="53">
        <f t="shared" si="28"/>
        <v>210</v>
      </c>
      <c r="D94" s="12">
        <f t="shared" si="23"/>
        <v>42001</v>
      </c>
      <c r="E94" s="52">
        <v>1</v>
      </c>
      <c r="F94" s="55" t="s">
        <v>65</v>
      </c>
      <c r="G94" s="53" t="str">
        <f t="shared" si="31"/>
        <v>Z042Z</v>
      </c>
      <c r="H94" s="55" t="s">
        <v>148</v>
      </c>
      <c r="I94" s="55"/>
      <c r="J94" s="55"/>
      <c r="K94" s="55"/>
      <c r="L94" s="52">
        <v>6000</v>
      </c>
      <c r="M94" s="52">
        <v>6010</v>
      </c>
      <c r="N94" s="53">
        <f t="shared" si="29"/>
        <v>10</v>
      </c>
      <c r="O94" s="29">
        <f t="shared" si="24"/>
        <v>10</v>
      </c>
      <c r="P94" s="56" t="s">
        <v>6</v>
      </c>
      <c r="Q94" s="56"/>
      <c r="R94" s="114">
        <v>400</v>
      </c>
      <c r="S94" s="102">
        <v>400</v>
      </c>
      <c r="T94" s="55">
        <f t="shared" si="25"/>
        <v>0</v>
      </c>
      <c r="U94" s="56" t="s">
        <v>6</v>
      </c>
      <c r="V94" s="56"/>
      <c r="W94" s="114">
        <v>1</v>
      </c>
      <c r="X94" s="114">
        <v>1</v>
      </c>
      <c r="Y94" s="55">
        <f t="shared" si="26"/>
        <v>0</v>
      </c>
      <c r="Z94" s="55">
        <v>5</v>
      </c>
      <c r="AA94" s="55">
        <v>5</v>
      </c>
      <c r="AB94" s="59" t="s">
        <v>316</v>
      </c>
      <c r="AC94" s="57">
        <v>0</v>
      </c>
      <c r="AD94" s="58">
        <v>60</v>
      </c>
      <c r="AE94" s="57">
        <v>0</v>
      </c>
      <c r="AF94" s="57"/>
      <c r="AG94" s="52">
        <v>2</v>
      </c>
      <c r="AH94" s="58">
        <v>2</v>
      </c>
      <c r="AI94" s="57">
        <v>0</v>
      </c>
      <c r="AJ94" s="57">
        <v>0</v>
      </c>
      <c r="AK94" s="57">
        <v>0</v>
      </c>
      <c r="AL94" s="52">
        <v>115</v>
      </c>
      <c r="AM94" s="57">
        <v>15</v>
      </c>
      <c r="AN94" s="57">
        <v>0</v>
      </c>
      <c r="AO94" s="57">
        <v>0</v>
      </c>
      <c r="AP94" s="57">
        <v>0</v>
      </c>
      <c r="AQ94" s="57">
        <v>0</v>
      </c>
      <c r="AR94" s="57">
        <v>0</v>
      </c>
      <c r="AS94" s="57">
        <v>0</v>
      </c>
      <c r="AT94" s="57">
        <v>0</v>
      </c>
      <c r="AU94" s="57">
        <v>0</v>
      </c>
      <c r="AV94" s="57">
        <v>0</v>
      </c>
      <c r="AW94" s="57">
        <v>1</v>
      </c>
      <c r="AX94" s="57">
        <v>0</v>
      </c>
      <c r="AY94" s="57">
        <v>1</v>
      </c>
      <c r="AZ94" s="57">
        <v>0</v>
      </c>
      <c r="BA94" s="53">
        <v>1</v>
      </c>
      <c r="BB94" s="57">
        <v>0</v>
      </c>
      <c r="BC94" s="57">
        <v>0</v>
      </c>
      <c r="BD94" s="57">
        <v>0.9</v>
      </c>
      <c r="BE94" s="57">
        <f t="shared" si="33"/>
        <v>6</v>
      </c>
      <c r="BF94" s="58">
        <v>0</v>
      </c>
      <c r="BG94" s="58">
        <v>0</v>
      </c>
      <c r="BH94" s="58">
        <v>0</v>
      </c>
      <c r="BI94" s="52">
        <v>3</v>
      </c>
      <c r="BJ94" s="52">
        <v>2</v>
      </c>
      <c r="BK94" s="52" t="s">
        <v>9</v>
      </c>
      <c r="BL94" s="65"/>
      <c r="BM94" s="52">
        <v>1</v>
      </c>
      <c r="BN94" s="52"/>
      <c r="BO94" s="52"/>
      <c r="BP94" s="52"/>
      <c r="BQ94" s="55"/>
      <c r="BR94" s="52"/>
      <c r="BS94" s="52"/>
      <c r="BT94" s="55"/>
      <c r="BU94" s="55"/>
      <c r="BV94" s="55"/>
      <c r="BW94" s="56"/>
      <c r="BX94" s="60" t="s">
        <v>225</v>
      </c>
      <c r="BY94" s="56" t="str">
        <f>"Approx "&amp;TEXT((2*AA94),0)&amp;" (2*SP)"</f>
        <v>Approx 10 (2*SP)</v>
      </c>
      <c r="BZ94" s="62" t="s">
        <v>254</v>
      </c>
    </row>
    <row r="95" spans="1:78" s="75" customFormat="1" ht="26.25" thickBot="1" x14ac:dyDescent="0.25">
      <c r="A95" s="52">
        <v>42</v>
      </c>
      <c r="B95" s="53" t="str">
        <f t="shared" si="22"/>
        <v>EMITTER_42</v>
      </c>
      <c r="C95" s="53">
        <f t="shared" si="28"/>
        <v>210</v>
      </c>
      <c r="D95" s="12">
        <f t="shared" si="23"/>
        <v>42002</v>
      </c>
      <c r="E95" s="52">
        <v>2</v>
      </c>
      <c r="F95" s="55" t="s">
        <v>65</v>
      </c>
      <c r="G95" s="53" t="str">
        <f t="shared" si="31"/>
        <v>Z042Z</v>
      </c>
      <c r="H95" s="55" t="s">
        <v>148</v>
      </c>
      <c r="I95" s="55"/>
      <c r="J95" s="55"/>
      <c r="K95" s="55"/>
      <c r="L95" s="52">
        <v>7000</v>
      </c>
      <c r="M95" s="52">
        <v>7050</v>
      </c>
      <c r="N95" s="53">
        <f t="shared" si="29"/>
        <v>50</v>
      </c>
      <c r="O95" s="29">
        <f t="shared" si="24"/>
        <v>50</v>
      </c>
      <c r="P95" s="56" t="s">
        <v>6</v>
      </c>
      <c r="Q95" s="56"/>
      <c r="R95" s="114">
        <v>600</v>
      </c>
      <c r="S95" s="102">
        <v>666</v>
      </c>
      <c r="T95" s="55">
        <f t="shared" si="25"/>
        <v>66</v>
      </c>
      <c r="U95" s="56" t="s">
        <v>11</v>
      </c>
      <c r="V95" s="56" t="s">
        <v>129</v>
      </c>
      <c r="W95" s="114">
        <v>50</v>
      </c>
      <c r="X95" s="114">
        <v>50</v>
      </c>
      <c r="Y95" s="55">
        <f t="shared" si="26"/>
        <v>0</v>
      </c>
      <c r="Z95" s="66">
        <v>0.99150000000000005</v>
      </c>
      <c r="AA95" s="66">
        <v>0.99160000000000004</v>
      </c>
      <c r="AB95" s="62" t="s">
        <v>317</v>
      </c>
      <c r="AC95" s="57">
        <v>100</v>
      </c>
      <c r="AD95" s="58">
        <v>0</v>
      </c>
      <c r="AE95" s="57">
        <v>0</v>
      </c>
      <c r="AF95" s="58">
        <v>37.979999999999997</v>
      </c>
      <c r="AG95" s="52">
        <v>2</v>
      </c>
      <c r="AH95" s="58">
        <v>2</v>
      </c>
      <c r="AI95" s="58">
        <v>0</v>
      </c>
      <c r="AJ95" s="58">
        <v>1</v>
      </c>
      <c r="AK95" s="57">
        <v>0</v>
      </c>
      <c r="AL95" s="52">
        <v>115</v>
      </c>
      <c r="AM95" s="57">
        <v>15</v>
      </c>
      <c r="AN95" s="57">
        <v>0</v>
      </c>
      <c r="AO95" s="57">
        <v>0</v>
      </c>
      <c r="AP95" s="57">
        <v>0</v>
      </c>
      <c r="AQ95" s="57">
        <v>0</v>
      </c>
      <c r="AR95" s="58">
        <v>12</v>
      </c>
      <c r="AS95" s="58">
        <v>24</v>
      </c>
      <c r="AT95" s="59">
        <v>0</v>
      </c>
      <c r="AU95" s="57">
        <v>0</v>
      </c>
      <c r="AV95" s="57">
        <v>0</v>
      </c>
      <c r="AW95" s="57">
        <v>1</v>
      </c>
      <c r="AX95" s="57">
        <v>0</v>
      </c>
      <c r="AY95" s="58">
        <v>0</v>
      </c>
      <c r="AZ95" s="58">
        <v>2</v>
      </c>
      <c r="BA95" s="53">
        <v>1</v>
      </c>
      <c r="BB95" s="57">
        <v>0</v>
      </c>
      <c r="BC95" s="57">
        <v>0</v>
      </c>
      <c r="BD95" s="57">
        <v>0.9</v>
      </c>
      <c r="BE95" s="57">
        <f t="shared" si="33"/>
        <v>6</v>
      </c>
      <c r="BF95" s="58">
        <v>0</v>
      </c>
      <c r="BG95" s="58">
        <v>1</v>
      </c>
      <c r="BH95" s="57">
        <v>0</v>
      </c>
      <c r="BI95" s="52">
        <v>3</v>
      </c>
      <c r="BJ95" s="52">
        <v>2</v>
      </c>
      <c r="BK95" s="52" t="s">
        <v>9</v>
      </c>
      <c r="BL95" s="65"/>
      <c r="BM95" s="52">
        <v>1</v>
      </c>
      <c r="BN95" s="52"/>
      <c r="BO95" s="52"/>
      <c r="BP95" s="52"/>
      <c r="BQ95" s="55"/>
      <c r="BR95" s="52"/>
      <c r="BS95" s="52"/>
      <c r="BT95" s="55"/>
      <c r="BU95" s="55"/>
      <c r="BV95" s="55"/>
      <c r="BW95" s="64"/>
      <c r="BX95" s="60" t="s">
        <v>225</v>
      </c>
      <c r="BY95" s="56" t="str">
        <f>"Approx "&amp;TEXT((2*AA95),0)&amp;" (2*SP)"</f>
        <v>Approx 2 (2*SP)</v>
      </c>
      <c r="BZ95" s="62" t="s">
        <v>254</v>
      </c>
    </row>
    <row r="96" spans="1:78" s="75" customFormat="1" ht="39" thickBot="1" x14ac:dyDescent="0.25">
      <c r="A96" s="53">
        <v>42</v>
      </c>
      <c r="B96" s="53" t="str">
        <f t="shared" si="22"/>
        <v>EMITTER_42</v>
      </c>
      <c r="C96" s="53">
        <f t="shared" si="28"/>
        <v>210</v>
      </c>
      <c r="D96" s="12">
        <f t="shared" si="23"/>
        <v>42003</v>
      </c>
      <c r="E96" s="53">
        <v>3</v>
      </c>
      <c r="F96" s="55" t="s">
        <v>65</v>
      </c>
      <c r="G96" s="53" t="str">
        <f t="shared" si="31"/>
        <v>Z042Z</v>
      </c>
      <c r="H96" s="55" t="s">
        <v>148</v>
      </c>
      <c r="I96" s="55"/>
      <c r="J96" s="55"/>
      <c r="K96" s="55"/>
      <c r="L96" s="53">
        <v>9800</v>
      </c>
      <c r="M96" s="53">
        <v>9900</v>
      </c>
      <c r="N96" s="53">
        <f t="shared" si="29"/>
        <v>100</v>
      </c>
      <c r="O96" s="29">
        <f t="shared" si="24"/>
        <v>100</v>
      </c>
      <c r="P96" s="61" t="s">
        <v>6</v>
      </c>
      <c r="Q96" s="61"/>
      <c r="R96" s="118">
        <v>500</v>
      </c>
      <c r="S96" s="107">
        <v>650</v>
      </c>
      <c r="T96" s="55">
        <f t="shared" si="25"/>
        <v>150</v>
      </c>
      <c r="U96" s="62" t="s">
        <v>31</v>
      </c>
      <c r="V96" s="56" t="s">
        <v>251</v>
      </c>
      <c r="W96" s="118">
        <v>1</v>
      </c>
      <c r="X96" s="118">
        <v>1</v>
      </c>
      <c r="Y96" s="55">
        <f t="shared" si="26"/>
        <v>0</v>
      </c>
      <c r="Z96" s="55">
        <v>0</v>
      </c>
      <c r="AA96" s="55">
        <v>0</v>
      </c>
      <c r="AB96" s="55" t="s">
        <v>12</v>
      </c>
      <c r="AC96" s="58">
        <v>0</v>
      </c>
      <c r="AD96" s="58">
        <v>0</v>
      </c>
      <c r="AE96" s="57">
        <v>0</v>
      </c>
      <c r="AF96" s="57">
        <v>9999</v>
      </c>
      <c r="AG96" s="52">
        <v>2</v>
      </c>
      <c r="AH96" s="58">
        <v>2</v>
      </c>
      <c r="AI96" s="58">
        <v>0</v>
      </c>
      <c r="AJ96" s="58">
        <v>0</v>
      </c>
      <c r="AK96" s="57">
        <v>0</v>
      </c>
      <c r="AL96" s="52">
        <v>115</v>
      </c>
      <c r="AM96" s="57">
        <v>15</v>
      </c>
      <c r="AN96" s="57">
        <v>0</v>
      </c>
      <c r="AO96" s="57">
        <v>0</v>
      </c>
      <c r="AP96" s="57">
        <v>0</v>
      </c>
      <c r="AQ96" s="57">
        <v>0</v>
      </c>
      <c r="AR96" s="57">
        <v>0</v>
      </c>
      <c r="AS96" s="57">
        <v>0</v>
      </c>
      <c r="AT96" s="57">
        <v>0</v>
      </c>
      <c r="AU96" s="57">
        <v>0</v>
      </c>
      <c r="AV96" s="57">
        <v>0</v>
      </c>
      <c r="AW96" s="57">
        <v>1</v>
      </c>
      <c r="AX96" s="57">
        <v>0</v>
      </c>
      <c r="AY96" s="57">
        <v>1</v>
      </c>
      <c r="AZ96" s="58">
        <v>8</v>
      </c>
      <c r="BA96" s="53">
        <v>1</v>
      </c>
      <c r="BB96" s="57">
        <v>0</v>
      </c>
      <c r="BC96" s="57">
        <v>0</v>
      </c>
      <c r="BD96" s="57">
        <v>0.9</v>
      </c>
      <c r="BE96" s="57">
        <f t="shared" si="33"/>
        <v>6</v>
      </c>
      <c r="BF96" s="57">
        <v>0</v>
      </c>
      <c r="BG96" s="57">
        <v>0</v>
      </c>
      <c r="BH96" s="57">
        <v>0</v>
      </c>
      <c r="BI96" s="52">
        <v>3</v>
      </c>
      <c r="BJ96" s="52">
        <v>2</v>
      </c>
      <c r="BK96" s="52" t="s">
        <v>9</v>
      </c>
      <c r="BL96" s="65"/>
      <c r="BM96" s="52">
        <v>1</v>
      </c>
      <c r="BN96" s="52"/>
      <c r="BO96" s="52"/>
      <c r="BP96" s="52"/>
      <c r="BQ96" s="55"/>
      <c r="BR96" s="52"/>
      <c r="BS96" s="52"/>
      <c r="BT96" s="55"/>
      <c r="BU96" s="55"/>
      <c r="BV96" s="55"/>
      <c r="BW96" s="56"/>
      <c r="BX96" s="60" t="s">
        <v>225</v>
      </c>
      <c r="BY96" s="56">
        <v>2</v>
      </c>
      <c r="BZ96" s="62" t="s">
        <v>254</v>
      </c>
    </row>
    <row r="97" spans="1:78" s="30" customFormat="1" ht="26.25" thickBot="1" x14ac:dyDescent="0.25">
      <c r="A97" s="14">
        <v>43</v>
      </c>
      <c r="B97" s="29" t="str">
        <f t="shared" si="22"/>
        <v>EMITTER_43</v>
      </c>
      <c r="C97" s="29">
        <f t="shared" si="28"/>
        <v>215</v>
      </c>
      <c r="D97" s="12">
        <f t="shared" si="23"/>
        <v>43003</v>
      </c>
      <c r="E97" s="80">
        <v>3</v>
      </c>
      <c r="F97" s="13" t="s">
        <v>35</v>
      </c>
      <c r="G97" s="29" t="str">
        <f>"Z144"&amp;"A"</f>
        <v>Z144A</v>
      </c>
      <c r="H97" s="13" t="s">
        <v>217</v>
      </c>
      <c r="I97" s="13"/>
      <c r="J97" s="13"/>
      <c r="K97" s="13"/>
      <c r="L97" s="14">
        <v>888</v>
      </c>
      <c r="M97" s="14">
        <v>910</v>
      </c>
      <c r="N97" s="29">
        <f t="shared" si="29"/>
        <v>22</v>
      </c>
      <c r="O97" s="29">
        <f t="shared" si="24"/>
        <v>22</v>
      </c>
      <c r="P97" s="51" t="s">
        <v>314</v>
      </c>
      <c r="Q97" s="15" t="s">
        <v>210</v>
      </c>
      <c r="R97" s="113">
        <v>0</v>
      </c>
      <c r="S97" s="101">
        <v>0</v>
      </c>
      <c r="T97" s="13">
        <f t="shared" si="25"/>
        <v>0</v>
      </c>
      <c r="U97" s="15" t="s">
        <v>18</v>
      </c>
      <c r="V97" s="15"/>
      <c r="W97" s="113">
        <v>0</v>
      </c>
      <c r="X97" s="113">
        <v>0</v>
      </c>
      <c r="Y97" s="13">
        <f t="shared" si="26"/>
        <v>0</v>
      </c>
      <c r="Z97" s="13">
        <v>0</v>
      </c>
      <c r="AA97" s="13">
        <v>0</v>
      </c>
      <c r="AB97" s="13" t="s">
        <v>12</v>
      </c>
      <c r="AC97" s="23">
        <v>50</v>
      </c>
      <c r="AD97" s="23">
        <v>0</v>
      </c>
      <c r="AE97" s="23">
        <v>0</v>
      </c>
      <c r="AF97" s="23">
        <v>500</v>
      </c>
      <c r="AG97" s="14">
        <v>3</v>
      </c>
      <c r="AH97" s="23">
        <v>3</v>
      </c>
      <c r="AI97" s="23">
        <v>0</v>
      </c>
      <c r="AJ97" s="23">
        <v>0</v>
      </c>
      <c r="AK97" s="23" t="s">
        <v>215</v>
      </c>
      <c r="AL97" s="14">
        <v>90</v>
      </c>
      <c r="AM97" s="23">
        <v>25</v>
      </c>
      <c r="AN97" s="23">
        <v>0</v>
      </c>
      <c r="AO97" s="23">
        <v>0</v>
      </c>
      <c r="AP97" s="23">
        <v>0</v>
      </c>
      <c r="AQ97" s="23">
        <v>0</v>
      </c>
      <c r="AR97" s="23">
        <v>0</v>
      </c>
      <c r="AS97" s="23">
        <v>0</v>
      </c>
      <c r="AT97" s="23">
        <v>0</v>
      </c>
      <c r="AU97" s="23">
        <v>0</v>
      </c>
      <c r="AV97" s="23">
        <v>0</v>
      </c>
      <c r="AW97" s="23">
        <v>4</v>
      </c>
      <c r="AX97" s="23">
        <v>1</v>
      </c>
      <c r="AY97" s="23">
        <v>1</v>
      </c>
      <c r="AZ97" s="23">
        <v>8</v>
      </c>
      <c r="BA97" s="29">
        <v>0</v>
      </c>
      <c r="BB97" s="23">
        <v>1</v>
      </c>
      <c r="BC97" s="23">
        <v>1</v>
      </c>
      <c r="BD97" s="23">
        <v>0.9</v>
      </c>
      <c r="BE97" s="23">
        <f t="shared" si="33"/>
        <v>24</v>
      </c>
      <c r="BF97" s="23">
        <v>0</v>
      </c>
      <c r="BG97" s="23">
        <v>0</v>
      </c>
      <c r="BH97" s="23">
        <v>400</v>
      </c>
      <c r="BI97" s="14">
        <v>12</v>
      </c>
      <c r="BJ97" s="14">
        <v>2</v>
      </c>
      <c r="BK97" s="14" t="s">
        <v>9</v>
      </c>
      <c r="BL97" s="23"/>
      <c r="BM97" s="14"/>
      <c r="BN97" s="14"/>
      <c r="BO97" s="14">
        <v>1</v>
      </c>
      <c r="BP97" s="14"/>
      <c r="BQ97" s="13"/>
      <c r="BR97" s="14">
        <v>1</v>
      </c>
      <c r="BS97" s="14"/>
      <c r="BT97" s="13"/>
      <c r="BU97" s="23"/>
      <c r="BV97" s="23"/>
      <c r="BW97" s="15"/>
      <c r="BX97" s="43" t="s">
        <v>225</v>
      </c>
      <c r="BY97" s="15" t="str">
        <f>"Approx "&amp;TEXT((2*AA97),0)&amp;" (2*SP)"</f>
        <v>Approx 0 (2*SP)</v>
      </c>
      <c r="BZ97" s="51" t="s">
        <v>253</v>
      </c>
    </row>
    <row r="98" spans="1:78" s="30" customFormat="1" ht="29.25" customHeight="1" thickBot="1" x14ac:dyDescent="0.25">
      <c r="A98" s="14">
        <v>43</v>
      </c>
      <c r="B98" s="29" t="str">
        <f t="shared" ref="B98:B116" si="34">"EMITTER_"&amp;TEXT(A98,"0")</f>
        <v>EMITTER_43</v>
      </c>
      <c r="C98" s="29">
        <f t="shared" si="28"/>
        <v>215</v>
      </c>
      <c r="D98" s="12">
        <f t="shared" ref="D98:D116" si="35">A98*1000+E98</f>
        <v>43004</v>
      </c>
      <c r="E98" s="80">
        <v>4</v>
      </c>
      <c r="F98" s="13" t="s">
        <v>35</v>
      </c>
      <c r="G98" s="29" t="str">
        <f>G97</f>
        <v>Z144A</v>
      </c>
      <c r="H98" s="13" t="s">
        <v>217</v>
      </c>
      <c r="I98" s="13"/>
      <c r="J98" s="13"/>
      <c r="K98" s="13"/>
      <c r="L98" s="14">
        <v>888</v>
      </c>
      <c r="M98" s="14">
        <v>910</v>
      </c>
      <c r="N98" s="29">
        <f t="shared" si="29"/>
        <v>22</v>
      </c>
      <c r="O98" s="29">
        <f t="shared" ref="O98:O116" si="36">M98-L98</f>
        <v>22</v>
      </c>
      <c r="P98" s="15" t="s">
        <v>6</v>
      </c>
      <c r="Q98" s="15"/>
      <c r="R98" s="113">
        <v>0</v>
      </c>
      <c r="S98" s="101">
        <v>0</v>
      </c>
      <c r="T98" s="13">
        <f t="shared" ref="T98:T113" si="37">S98-R98</f>
        <v>0</v>
      </c>
      <c r="U98" s="15" t="s">
        <v>18</v>
      </c>
      <c r="V98" s="15"/>
      <c r="W98" s="113">
        <v>0</v>
      </c>
      <c r="X98" s="113">
        <v>0</v>
      </c>
      <c r="Y98" s="13">
        <f t="shared" ref="Y98:Y116" si="38">X98-W98</f>
        <v>0</v>
      </c>
      <c r="Z98" s="13">
        <v>0</v>
      </c>
      <c r="AA98" s="13">
        <v>0</v>
      </c>
      <c r="AB98" s="49" t="s">
        <v>12</v>
      </c>
      <c r="AC98" s="23">
        <v>0</v>
      </c>
      <c r="AD98" s="23">
        <v>0</v>
      </c>
      <c r="AE98" s="23">
        <v>0</v>
      </c>
      <c r="AF98" s="23">
        <v>9999</v>
      </c>
      <c r="AG98" s="14">
        <v>3</v>
      </c>
      <c r="AH98" s="23">
        <v>3</v>
      </c>
      <c r="AI98" s="23">
        <v>0</v>
      </c>
      <c r="AJ98" s="23">
        <v>0</v>
      </c>
      <c r="AK98" s="23">
        <v>0</v>
      </c>
      <c r="AL98" s="14">
        <v>90</v>
      </c>
      <c r="AM98" s="23">
        <v>25</v>
      </c>
      <c r="AN98" s="23">
        <v>0</v>
      </c>
      <c r="AO98" s="23">
        <v>0</v>
      </c>
      <c r="AP98" s="23">
        <v>0</v>
      </c>
      <c r="AQ98" s="23">
        <v>0</v>
      </c>
      <c r="AR98" s="23">
        <v>0</v>
      </c>
      <c r="AS98" s="23">
        <v>0</v>
      </c>
      <c r="AT98" s="23">
        <v>0</v>
      </c>
      <c r="AU98" s="23">
        <v>0</v>
      </c>
      <c r="AV98" s="23">
        <v>0</v>
      </c>
      <c r="AW98" s="23">
        <v>4</v>
      </c>
      <c r="AX98" s="23">
        <v>1</v>
      </c>
      <c r="AY98" s="23">
        <v>1</v>
      </c>
      <c r="AZ98" s="23">
        <v>8</v>
      </c>
      <c r="BA98" s="29">
        <v>0</v>
      </c>
      <c r="BB98" s="23">
        <v>1</v>
      </c>
      <c r="BC98" s="23">
        <v>0</v>
      </c>
      <c r="BD98" s="23">
        <v>0.9</v>
      </c>
      <c r="BE98" s="23">
        <f t="shared" si="33"/>
        <v>24</v>
      </c>
      <c r="BF98" s="23">
        <v>0</v>
      </c>
      <c r="BG98" s="23">
        <v>0</v>
      </c>
      <c r="BH98" s="23">
        <v>400</v>
      </c>
      <c r="BI98" s="14">
        <v>12</v>
      </c>
      <c r="BJ98" s="14">
        <v>2</v>
      </c>
      <c r="BK98" s="14" t="s">
        <v>9</v>
      </c>
      <c r="BL98" s="23"/>
      <c r="BM98" s="14">
        <v>1</v>
      </c>
      <c r="BN98" s="14"/>
      <c r="BO98" s="14"/>
      <c r="BP98" s="14"/>
      <c r="BQ98" s="13"/>
      <c r="BR98" s="14"/>
      <c r="BS98" s="14"/>
      <c r="BT98" s="13"/>
      <c r="BU98" s="13"/>
      <c r="BV98" s="13"/>
      <c r="BW98" s="15" t="s">
        <v>218</v>
      </c>
      <c r="BX98" s="43" t="s">
        <v>225</v>
      </c>
      <c r="BY98" s="15">
        <v>2</v>
      </c>
      <c r="BZ98" s="51" t="s">
        <v>253</v>
      </c>
    </row>
    <row r="99" spans="1:78" s="30" customFormat="1" ht="51.75" thickBot="1" x14ac:dyDescent="0.25">
      <c r="A99" s="14">
        <v>43</v>
      </c>
      <c r="B99" s="29" t="str">
        <f t="shared" si="34"/>
        <v>EMITTER_43</v>
      </c>
      <c r="C99" s="29">
        <f t="shared" si="28"/>
        <v>215</v>
      </c>
      <c r="D99" s="12">
        <f t="shared" si="35"/>
        <v>43001</v>
      </c>
      <c r="E99" s="14">
        <v>1</v>
      </c>
      <c r="F99" s="13" t="s">
        <v>82</v>
      </c>
      <c r="G99" s="29" t="str">
        <f>"Z1"&amp;TEXT(A99,"0")&amp;"A"</f>
        <v>Z143A</v>
      </c>
      <c r="H99" s="13" t="s">
        <v>217</v>
      </c>
      <c r="I99" s="13"/>
      <c r="J99" s="13"/>
      <c r="K99" s="13"/>
      <c r="L99" s="14">
        <v>5700</v>
      </c>
      <c r="M99" s="14">
        <v>5750</v>
      </c>
      <c r="N99" s="29">
        <f t="shared" si="29"/>
        <v>50</v>
      </c>
      <c r="O99" s="29">
        <f t="shared" si="36"/>
        <v>50</v>
      </c>
      <c r="P99" s="15" t="s">
        <v>6</v>
      </c>
      <c r="Q99" s="15"/>
      <c r="R99" s="113">
        <v>1000</v>
      </c>
      <c r="S99" s="101">
        <v>1010</v>
      </c>
      <c r="T99" s="13">
        <f t="shared" si="37"/>
        <v>10</v>
      </c>
      <c r="U99" s="15" t="s">
        <v>6</v>
      </c>
      <c r="V99" s="15"/>
      <c r="W99" s="113">
        <v>1</v>
      </c>
      <c r="X99" s="113">
        <v>1</v>
      </c>
      <c r="Y99" s="13">
        <f t="shared" si="38"/>
        <v>0</v>
      </c>
      <c r="Z99" s="79">
        <v>3.5</v>
      </c>
      <c r="AA99" s="79">
        <v>3.5350000000000001</v>
      </c>
      <c r="AB99" s="39" t="s">
        <v>319</v>
      </c>
      <c r="AC99" s="23">
        <v>50</v>
      </c>
      <c r="AD99" s="47">
        <v>21</v>
      </c>
      <c r="AE99" s="23">
        <v>0</v>
      </c>
      <c r="AF99" s="47">
        <v>252.5</v>
      </c>
      <c r="AG99" s="14">
        <v>3</v>
      </c>
      <c r="AH99" s="23">
        <v>5</v>
      </c>
      <c r="AI99" s="23">
        <v>3</v>
      </c>
      <c r="AJ99" s="23">
        <v>7</v>
      </c>
      <c r="AK99" s="23">
        <v>0</v>
      </c>
      <c r="AL99" s="14">
        <v>115</v>
      </c>
      <c r="AM99" s="23">
        <v>10</v>
      </c>
      <c r="AN99" s="23">
        <v>0</v>
      </c>
      <c r="AO99" s="23">
        <v>0</v>
      </c>
      <c r="AP99" s="23">
        <v>0</v>
      </c>
      <c r="AQ99" s="23">
        <v>0</v>
      </c>
      <c r="AR99" s="23">
        <v>2</v>
      </c>
      <c r="AS99" s="47">
        <v>10</v>
      </c>
      <c r="AT99" s="23">
        <v>0</v>
      </c>
      <c r="AU99" s="23">
        <v>0</v>
      </c>
      <c r="AV99" s="23">
        <v>0</v>
      </c>
      <c r="AW99" s="23">
        <v>4</v>
      </c>
      <c r="AX99" s="23">
        <v>1</v>
      </c>
      <c r="AY99" s="23">
        <v>1</v>
      </c>
      <c r="AZ99" s="23">
        <v>2</v>
      </c>
      <c r="BA99" s="29">
        <v>0</v>
      </c>
      <c r="BB99" s="23">
        <v>1</v>
      </c>
      <c r="BC99" s="23">
        <v>0</v>
      </c>
      <c r="BD99" s="23">
        <v>0.9</v>
      </c>
      <c r="BE99" s="23">
        <f t="shared" si="33"/>
        <v>24</v>
      </c>
      <c r="BF99" s="47">
        <v>0</v>
      </c>
      <c r="BG99" s="47">
        <v>1</v>
      </c>
      <c r="BH99" s="23">
        <v>400</v>
      </c>
      <c r="BI99" s="14">
        <v>12</v>
      </c>
      <c r="BJ99" s="14">
        <v>3</v>
      </c>
      <c r="BK99" s="14" t="s">
        <v>9</v>
      </c>
      <c r="BL99" s="23"/>
      <c r="BM99" s="14">
        <v>1</v>
      </c>
      <c r="BN99" s="14"/>
      <c r="BO99" s="14"/>
      <c r="BP99" s="14"/>
      <c r="BQ99" s="13"/>
      <c r="BR99" s="14"/>
      <c r="BS99" s="14"/>
      <c r="BT99" s="13"/>
      <c r="BU99" s="13"/>
      <c r="BV99" s="13"/>
      <c r="BW99" s="15" t="s">
        <v>135</v>
      </c>
      <c r="BX99" s="43" t="s">
        <v>225</v>
      </c>
      <c r="BY99" s="15">
        <v>2</v>
      </c>
      <c r="BZ99" s="51" t="s">
        <v>253</v>
      </c>
    </row>
    <row r="100" spans="1:78" s="30" customFormat="1" ht="13.5" thickBot="1" x14ac:dyDescent="0.25">
      <c r="A100" s="14">
        <v>43</v>
      </c>
      <c r="B100" s="29" t="str">
        <f t="shared" si="34"/>
        <v>EMITTER_43</v>
      </c>
      <c r="C100" s="29">
        <f t="shared" ref="C100:C110" si="39">5*A100</f>
        <v>215</v>
      </c>
      <c r="D100" s="12">
        <f t="shared" si="35"/>
        <v>43002</v>
      </c>
      <c r="E100" s="80">
        <v>2</v>
      </c>
      <c r="F100" s="13" t="s">
        <v>82</v>
      </c>
      <c r="G100" s="29" t="str">
        <f>"Z1"&amp;TEXT(A100,"0")&amp;"A"</f>
        <v>Z143A</v>
      </c>
      <c r="H100" s="13" t="s">
        <v>217</v>
      </c>
      <c r="I100" s="13"/>
      <c r="J100" s="13"/>
      <c r="K100" s="13"/>
      <c r="L100" s="14">
        <v>5800</v>
      </c>
      <c r="M100" s="14">
        <v>5850</v>
      </c>
      <c r="N100" s="29">
        <f t="shared" si="29"/>
        <v>50</v>
      </c>
      <c r="O100" s="29">
        <f t="shared" si="36"/>
        <v>50</v>
      </c>
      <c r="P100" s="15" t="s">
        <v>6</v>
      </c>
      <c r="Q100" s="15"/>
      <c r="R100" s="113">
        <v>1000</v>
      </c>
      <c r="S100" s="101">
        <v>1010</v>
      </c>
      <c r="T100" s="13">
        <f t="shared" si="37"/>
        <v>10</v>
      </c>
      <c r="U100" s="15" t="s">
        <v>6</v>
      </c>
      <c r="V100" s="15"/>
      <c r="W100" s="113">
        <v>1</v>
      </c>
      <c r="X100" s="113">
        <v>1</v>
      </c>
      <c r="Y100" s="13">
        <f t="shared" si="38"/>
        <v>0</v>
      </c>
      <c r="Z100" s="79">
        <v>0</v>
      </c>
      <c r="AA100" s="79">
        <v>0</v>
      </c>
      <c r="AB100" s="51" t="s">
        <v>320</v>
      </c>
      <c r="AC100" s="23">
        <v>0</v>
      </c>
      <c r="AD100" s="23">
        <v>0</v>
      </c>
      <c r="AE100" s="23">
        <v>0</v>
      </c>
      <c r="AF100" s="23">
        <v>0</v>
      </c>
      <c r="AG100" s="14">
        <v>2</v>
      </c>
      <c r="AH100" s="23">
        <v>2</v>
      </c>
      <c r="AI100" s="23">
        <v>0</v>
      </c>
      <c r="AJ100" s="23">
        <v>0</v>
      </c>
      <c r="AK100" s="23">
        <v>0</v>
      </c>
      <c r="AL100" s="14">
        <v>115</v>
      </c>
      <c r="AM100" s="23">
        <v>10</v>
      </c>
      <c r="AN100" s="23">
        <v>0</v>
      </c>
      <c r="AO100" s="23">
        <v>0</v>
      </c>
      <c r="AP100" s="23">
        <v>0</v>
      </c>
      <c r="AQ100" s="23">
        <v>0</v>
      </c>
      <c r="AR100" s="23">
        <v>0</v>
      </c>
      <c r="AS100" s="23">
        <v>0</v>
      </c>
      <c r="AT100" s="23">
        <v>0</v>
      </c>
      <c r="AU100" s="23">
        <v>0</v>
      </c>
      <c r="AV100" s="23">
        <v>0</v>
      </c>
      <c r="AW100" s="23">
        <v>4</v>
      </c>
      <c r="AX100" s="23">
        <v>1</v>
      </c>
      <c r="AY100" s="23">
        <v>1</v>
      </c>
      <c r="AZ100" s="79">
        <v>8</v>
      </c>
      <c r="BA100" s="29">
        <v>0</v>
      </c>
      <c r="BB100" s="23">
        <v>1</v>
      </c>
      <c r="BC100" s="23">
        <v>0</v>
      </c>
      <c r="BD100" s="23">
        <v>0.9</v>
      </c>
      <c r="BE100" s="23">
        <f t="shared" si="33"/>
        <v>24</v>
      </c>
      <c r="BF100" s="23">
        <v>0</v>
      </c>
      <c r="BG100" s="23">
        <v>0</v>
      </c>
      <c r="BH100" s="23">
        <v>400</v>
      </c>
      <c r="BI100" s="14">
        <v>12</v>
      </c>
      <c r="BJ100" s="14">
        <v>3</v>
      </c>
      <c r="BK100" s="14" t="s">
        <v>9</v>
      </c>
      <c r="BL100" s="23"/>
      <c r="BM100" s="14"/>
      <c r="BN100" s="14"/>
      <c r="BO100" s="14">
        <v>1</v>
      </c>
      <c r="BP100" s="14"/>
      <c r="BQ100" s="13"/>
      <c r="BR100" s="14">
        <v>1</v>
      </c>
      <c r="BS100" s="14"/>
      <c r="BT100" s="13"/>
      <c r="BU100" s="23"/>
      <c r="BV100" s="23"/>
      <c r="BW100" s="15"/>
      <c r="BX100" s="43" t="s">
        <v>225</v>
      </c>
      <c r="BY100" s="15">
        <v>2</v>
      </c>
      <c r="BZ100" s="51" t="s">
        <v>253</v>
      </c>
    </row>
    <row r="101" spans="1:78" s="75" customFormat="1" ht="26.25" thickBot="1" x14ac:dyDescent="0.25">
      <c r="A101" s="53">
        <v>44</v>
      </c>
      <c r="B101" s="53" t="str">
        <f t="shared" si="34"/>
        <v>EMITTER_44</v>
      </c>
      <c r="C101" s="53">
        <f t="shared" si="39"/>
        <v>220</v>
      </c>
      <c r="D101" s="12">
        <f t="shared" si="35"/>
        <v>44002</v>
      </c>
      <c r="E101" s="53">
        <v>2</v>
      </c>
      <c r="F101" s="57" t="s">
        <v>4</v>
      </c>
      <c r="G101" s="53" t="str">
        <f t="shared" ref="G101:G110" si="40">"Z0"&amp;TEXT(A101,"0")&amp;"Z"</f>
        <v>Z044Z</v>
      </c>
      <c r="H101" s="57" t="s">
        <v>7</v>
      </c>
      <c r="I101" s="57"/>
      <c r="J101" s="57"/>
      <c r="K101" s="57"/>
      <c r="L101" s="53">
        <v>13200</v>
      </c>
      <c r="M101" s="53">
        <v>13400</v>
      </c>
      <c r="N101" s="53">
        <f t="shared" si="29"/>
        <v>200</v>
      </c>
      <c r="O101" s="29">
        <f t="shared" si="36"/>
        <v>200</v>
      </c>
      <c r="P101" s="61" t="s">
        <v>6</v>
      </c>
      <c r="Q101" s="61"/>
      <c r="R101" s="118">
        <v>800</v>
      </c>
      <c r="S101" s="107">
        <v>2000</v>
      </c>
      <c r="T101" s="55">
        <f t="shared" si="37"/>
        <v>1200</v>
      </c>
      <c r="U101" s="62" t="s">
        <v>31</v>
      </c>
      <c r="V101" s="56" t="s">
        <v>130</v>
      </c>
      <c r="W101" s="118">
        <v>4</v>
      </c>
      <c r="X101" s="118">
        <v>4</v>
      </c>
      <c r="Y101" s="55">
        <f t="shared" si="38"/>
        <v>0</v>
      </c>
      <c r="Z101" s="58">
        <v>4</v>
      </c>
      <c r="AA101" s="58">
        <v>4</v>
      </c>
      <c r="AB101" s="64" t="s">
        <v>318</v>
      </c>
      <c r="AC101" s="57">
        <v>50</v>
      </c>
      <c r="AD101" s="57">
        <v>12</v>
      </c>
      <c r="AE101" s="57">
        <v>0</v>
      </c>
      <c r="AF101" s="58">
        <v>332.15</v>
      </c>
      <c r="AG101" s="52">
        <v>3</v>
      </c>
      <c r="AH101" s="57">
        <v>3</v>
      </c>
      <c r="AI101" s="57">
        <v>3</v>
      </c>
      <c r="AJ101" s="57">
        <v>4</v>
      </c>
      <c r="AK101" s="57">
        <v>0</v>
      </c>
      <c r="AL101" s="69">
        <v>100</v>
      </c>
      <c r="AM101" s="57">
        <v>25</v>
      </c>
      <c r="AN101" s="57">
        <v>0</v>
      </c>
      <c r="AO101" s="57">
        <v>0</v>
      </c>
      <c r="AP101" s="57">
        <v>0</v>
      </c>
      <c r="AQ101" s="57">
        <v>0</v>
      </c>
      <c r="AR101" s="57">
        <v>3</v>
      </c>
      <c r="AS101" s="58">
        <v>9</v>
      </c>
      <c r="AT101" s="57">
        <v>0</v>
      </c>
      <c r="AU101" s="57">
        <v>0</v>
      </c>
      <c r="AV101" s="57">
        <v>0</v>
      </c>
      <c r="AW101" s="57">
        <v>1</v>
      </c>
      <c r="AX101" s="57">
        <v>0</v>
      </c>
      <c r="AY101" s="57">
        <v>1</v>
      </c>
      <c r="AZ101" s="57">
        <v>4</v>
      </c>
      <c r="BA101" s="53">
        <v>1</v>
      </c>
      <c r="BB101" s="57">
        <v>0</v>
      </c>
      <c r="BC101" s="57">
        <v>0</v>
      </c>
      <c r="BD101" s="57">
        <v>0.9</v>
      </c>
      <c r="BE101" s="57">
        <f t="shared" si="33"/>
        <v>30</v>
      </c>
      <c r="BF101" s="58">
        <v>1</v>
      </c>
      <c r="BG101" s="57">
        <v>0</v>
      </c>
      <c r="BH101" s="57">
        <v>0</v>
      </c>
      <c r="BI101" s="52">
        <v>15</v>
      </c>
      <c r="BJ101" s="52">
        <v>3</v>
      </c>
      <c r="BK101" s="52" t="s">
        <v>9</v>
      </c>
      <c r="BL101" s="65"/>
      <c r="BM101" s="52">
        <v>1</v>
      </c>
      <c r="BN101" s="52"/>
      <c r="BO101" s="52"/>
      <c r="BP101" s="52"/>
      <c r="BQ101" s="55"/>
      <c r="BR101" s="52">
        <v>1</v>
      </c>
      <c r="BS101" s="52"/>
      <c r="BT101" s="55"/>
      <c r="BU101" s="55"/>
      <c r="BV101" s="55"/>
      <c r="BW101" s="56"/>
      <c r="BX101" s="60" t="s">
        <v>225</v>
      </c>
      <c r="BY101" s="56">
        <v>2</v>
      </c>
      <c r="BZ101" s="62" t="s">
        <v>254</v>
      </c>
    </row>
    <row r="102" spans="1:78" s="75" customFormat="1" ht="26.25" thickBot="1" x14ac:dyDescent="0.25">
      <c r="A102" s="52">
        <v>44</v>
      </c>
      <c r="B102" s="53" t="str">
        <f t="shared" si="34"/>
        <v>EMITTER_44</v>
      </c>
      <c r="C102" s="53">
        <f t="shared" si="39"/>
        <v>220</v>
      </c>
      <c r="D102" s="12">
        <f t="shared" si="35"/>
        <v>44001</v>
      </c>
      <c r="E102" s="53">
        <v>1</v>
      </c>
      <c r="F102" s="57" t="s">
        <v>35</v>
      </c>
      <c r="G102" s="53" t="str">
        <f t="shared" si="40"/>
        <v>Z044Z</v>
      </c>
      <c r="H102" s="57" t="s">
        <v>17</v>
      </c>
      <c r="I102" s="57"/>
      <c r="J102" s="57"/>
      <c r="K102" s="57"/>
      <c r="L102" s="53">
        <v>16500</v>
      </c>
      <c r="M102" s="53">
        <v>16600</v>
      </c>
      <c r="N102" s="53">
        <f t="shared" si="29"/>
        <v>100</v>
      </c>
      <c r="O102" s="29">
        <f t="shared" si="36"/>
        <v>100</v>
      </c>
      <c r="P102" s="61" t="s">
        <v>83</v>
      </c>
      <c r="Q102" s="64" t="s">
        <v>244</v>
      </c>
      <c r="R102" s="118">
        <v>0</v>
      </c>
      <c r="S102" s="107">
        <v>0</v>
      </c>
      <c r="T102" s="55">
        <f t="shared" si="37"/>
        <v>0</v>
      </c>
      <c r="U102" s="61" t="s">
        <v>18</v>
      </c>
      <c r="V102" s="61"/>
      <c r="W102" s="118">
        <v>0</v>
      </c>
      <c r="X102" s="118">
        <v>0</v>
      </c>
      <c r="Y102" s="55">
        <f t="shared" si="38"/>
        <v>0</v>
      </c>
      <c r="Z102" s="55">
        <v>0</v>
      </c>
      <c r="AA102" s="55">
        <v>0</v>
      </c>
      <c r="AB102" s="57" t="s">
        <v>12</v>
      </c>
      <c r="AC102" s="57">
        <v>0</v>
      </c>
      <c r="AD102" s="57">
        <v>0</v>
      </c>
      <c r="AE102" s="57">
        <v>0</v>
      </c>
      <c r="AF102" s="57">
        <v>9999</v>
      </c>
      <c r="AG102" s="52">
        <v>3</v>
      </c>
      <c r="AH102" s="57">
        <v>3</v>
      </c>
      <c r="AI102" s="57">
        <v>0</v>
      </c>
      <c r="AJ102" s="57">
        <v>0</v>
      </c>
      <c r="AK102" s="57">
        <v>10</v>
      </c>
      <c r="AL102" s="69">
        <v>100</v>
      </c>
      <c r="AM102" s="57">
        <v>25</v>
      </c>
      <c r="AN102" s="57">
        <v>0</v>
      </c>
      <c r="AO102" s="57">
        <v>0</v>
      </c>
      <c r="AP102" s="57">
        <v>0</v>
      </c>
      <c r="AQ102" s="57">
        <v>0</v>
      </c>
      <c r="AR102" s="57">
        <v>0</v>
      </c>
      <c r="AS102" s="57">
        <v>0</v>
      </c>
      <c r="AT102" s="57">
        <v>0</v>
      </c>
      <c r="AU102" s="57">
        <v>0</v>
      </c>
      <c r="AV102" s="57">
        <v>0</v>
      </c>
      <c r="AW102" s="57">
        <v>1</v>
      </c>
      <c r="AX102" s="57">
        <v>0</v>
      </c>
      <c r="AY102" s="57">
        <v>1</v>
      </c>
      <c r="AZ102" s="57">
        <v>8</v>
      </c>
      <c r="BA102" s="53">
        <v>1</v>
      </c>
      <c r="BB102" s="57">
        <v>0</v>
      </c>
      <c r="BC102" s="57">
        <v>1</v>
      </c>
      <c r="BD102" s="57">
        <v>0.9</v>
      </c>
      <c r="BE102" s="57">
        <f t="shared" si="33"/>
        <v>30</v>
      </c>
      <c r="BF102" s="57">
        <v>0</v>
      </c>
      <c r="BG102" s="57">
        <v>0</v>
      </c>
      <c r="BH102" s="57">
        <v>0</v>
      </c>
      <c r="BI102" s="52">
        <v>15</v>
      </c>
      <c r="BJ102" s="52">
        <v>3</v>
      </c>
      <c r="BK102" s="52" t="s">
        <v>9</v>
      </c>
      <c r="BL102" s="65"/>
      <c r="BM102" s="52">
        <v>1</v>
      </c>
      <c r="BN102" s="52"/>
      <c r="BO102" s="52"/>
      <c r="BP102" s="52"/>
      <c r="BQ102" s="55"/>
      <c r="BR102" s="52"/>
      <c r="BS102" s="52"/>
      <c r="BT102" s="55"/>
      <c r="BU102" s="55"/>
      <c r="BV102" s="55"/>
      <c r="BW102" s="56"/>
      <c r="BX102" s="60" t="s">
        <v>225</v>
      </c>
      <c r="BY102" s="56" t="str">
        <f>"Approx "&amp;TEXT((2*AA102),0)&amp;" (2*SP)"</f>
        <v>Approx 0 (2*SP)</v>
      </c>
      <c r="BZ102" s="62" t="s">
        <v>254</v>
      </c>
    </row>
    <row r="103" spans="1:78" s="30" customFormat="1" ht="51.75" thickBot="1" x14ac:dyDescent="0.25">
      <c r="A103" s="14">
        <v>45</v>
      </c>
      <c r="B103" s="29" t="str">
        <f t="shared" si="34"/>
        <v>EMITTER_45</v>
      </c>
      <c r="C103" s="29">
        <f t="shared" si="39"/>
        <v>225</v>
      </c>
      <c r="D103" s="12">
        <f t="shared" si="35"/>
        <v>45001</v>
      </c>
      <c r="E103" s="12">
        <v>1</v>
      </c>
      <c r="F103" s="13" t="s">
        <v>19</v>
      </c>
      <c r="G103" s="29" t="str">
        <f t="shared" si="40"/>
        <v>Z045Z</v>
      </c>
      <c r="H103" s="13" t="s">
        <v>20</v>
      </c>
      <c r="I103" s="13"/>
      <c r="J103" s="13"/>
      <c r="K103" s="13"/>
      <c r="L103" s="80">
        <v>2111</v>
      </c>
      <c r="M103" s="80">
        <v>2197</v>
      </c>
      <c r="N103" s="29">
        <f t="shared" si="29"/>
        <v>86</v>
      </c>
      <c r="O103" s="29">
        <f t="shared" si="36"/>
        <v>86</v>
      </c>
      <c r="P103" s="15" t="s">
        <v>31</v>
      </c>
      <c r="Q103" s="15" t="s">
        <v>149</v>
      </c>
      <c r="R103" s="113">
        <v>1550</v>
      </c>
      <c r="S103" s="101">
        <v>1900</v>
      </c>
      <c r="T103" s="13">
        <f t="shared" si="37"/>
        <v>350</v>
      </c>
      <c r="U103" s="15" t="s">
        <v>109</v>
      </c>
      <c r="V103" s="15" t="s">
        <v>131</v>
      </c>
      <c r="W103" s="113">
        <v>1</v>
      </c>
      <c r="X103" s="113">
        <v>1</v>
      </c>
      <c r="Y103" s="13">
        <f t="shared" si="38"/>
        <v>0</v>
      </c>
      <c r="Z103" s="13">
        <v>5</v>
      </c>
      <c r="AA103" s="13">
        <v>5</v>
      </c>
      <c r="AB103" s="49" t="s">
        <v>316</v>
      </c>
      <c r="AC103" s="23">
        <v>0</v>
      </c>
      <c r="AD103" s="47">
        <v>360</v>
      </c>
      <c r="AE103" s="23">
        <v>0</v>
      </c>
      <c r="AF103" s="23">
        <v>0</v>
      </c>
      <c r="AG103" s="14">
        <v>3</v>
      </c>
      <c r="AH103" s="23">
        <v>6</v>
      </c>
      <c r="AI103" s="23">
        <v>0</v>
      </c>
      <c r="AJ103" s="23">
        <v>0</v>
      </c>
      <c r="AK103" s="23" t="s">
        <v>211</v>
      </c>
      <c r="AL103" s="14">
        <v>110</v>
      </c>
      <c r="AM103" s="23">
        <v>15</v>
      </c>
      <c r="AN103" s="23">
        <v>0</v>
      </c>
      <c r="AO103" s="23">
        <v>0</v>
      </c>
      <c r="AP103" s="23">
        <v>0</v>
      </c>
      <c r="AQ103" s="23">
        <v>0</v>
      </c>
      <c r="AR103" s="23">
        <v>0</v>
      </c>
      <c r="AS103" s="23">
        <v>0</v>
      </c>
      <c r="AT103" s="23">
        <v>0</v>
      </c>
      <c r="AU103" s="23">
        <v>0</v>
      </c>
      <c r="AV103" s="23">
        <v>0</v>
      </c>
      <c r="AW103" s="23">
        <v>1</v>
      </c>
      <c r="AX103" s="23">
        <v>0</v>
      </c>
      <c r="AY103" s="23">
        <v>1</v>
      </c>
      <c r="AZ103" s="23">
        <v>0</v>
      </c>
      <c r="BA103" s="29">
        <v>1</v>
      </c>
      <c r="BB103" s="23">
        <v>0</v>
      </c>
      <c r="BC103" s="23">
        <v>1</v>
      </c>
      <c r="BD103" s="13">
        <v>0.9</v>
      </c>
      <c r="BE103" s="23">
        <f t="shared" si="33"/>
        <v>24</v>
      </c>
      <c r="BF103" s="23">
        <v>0</v>
      </c>
      <c r="BG103" s="23">
        <v>0</v>
      </c>
      <c r="BH103" s="23">
        <v>0</v>
      </c>
      <c r="BI103" s="14">
        <v>12</v>
      </c>
      <c r="BJ103" s="14">
        <v>5</v>
      </c>
      <c r="BK103" s="14" t="s">
        <v>9</v>
      </c>
      <c r="BL103" s="23"/>
      <c r="BM103" s="14">
        <v>1</v>
      </c>
      <c r="BN103" s="14"/>
      <c r="BO103" s="14"/>
      <c r="BP103" s="14"/>
      <c r="BQ103" s="13"/>
      <c r="BR103" s="14"/>
      <c r="BS103" s="14"/>
      <c r="BT103" s="13"/>
      <c r="BU103" s="13"/>
      <c r="BV103" s="14">
        <v>1</v>
      </c>
      <c r="BW103" s="15"/>
      <c r="BX103" s="43" t="s">
        <v>226</v>
      </c>
      <c r="BY103" s="15" t="str">
        <f>"Approx "&amp;TEXT((2*AA103),0)&amp;" (2*SP)"</f>
        <v>Approx 10 (2*SP)</v>
      </c>
      <c r="BZ103" s="51" t="s">
        <v>254</v>
      </c>
    </row>
    <row r="104" spans="1:78" s="30" customFormat="1" ht="51.75" thickBot="1" x14ac:dyDescent="0.25">
      <c r="A104" s="14">
        <v>45</v>
      </c>
      <c r="B104" s="29" t="str">
        <f t="shared" si="34"/>
        <v>EMITTER_45</v>
      </c>
      <c r="C104" s="29">
        <f t="shared" si="39"/>
        <v>225</v>
      </c>
      <c r="D104" s="12">
        <f t="shared" si="35"/>
        <v>45002</v>
      </c>
      <c r="E104" s="12">
        <v>2</v>
      </c>
      <c r="F104" s="13" t="s">
        <v>19</v>
      </c>
      <c r="G104" s="29" t="str">
        <f t="shared" si="40"/>
        <v>Z045Z</v>
      </c>
      <c r="H104" s="13" t="s">
        <v>20</v>
      </c>
      <c r="I104" s="13"/>
      <c r="J104" s="13"/>
      <c r="K104" s="13"/>
      <c r="L104" s="80">
        <v>2111</v>
      </c>
      <c r="M104" s="80">
        <v>2197</v>
      </c>
      <c r="N104" s="29">
        <f t="shared" si="29"/>
        <v>86</v>
      </c>
      <c r="O104" s="29">
        <f t="shared" si="36"/>
        <v>86</v>
      </c>
      <c r="P104" s="15" t="s">
        <v>31</v>
      </c>
      <c r="Q104" s="15" t="s">
        <v>149</v>
      </c>
      <c r="R104" s="116">
        <v>2490</v>
      </c>
      <c r="S104" s="103">
        <v>2510</v>
      </c>
      <c r="T104" s="79">
        <f t="shared" si="37"/>
        <v>20</v>
      </c>
      <c r="U104" s="15" t="s">
        <v>71</v>
      </c>
      <c r="V104" s="15" t="s">
        <v>223</v>
      </c>
      <c r="W104" s="113">
        <v>3</v>
      </c>
      <c r="X104" s="113">
        <v>3</v>
      </c>
      <c r="Y104" s="13">
        <f t="shared" si="38"/>
        <v>0</v>
      </c>
      <c r="Z104" s="13">
        <v>5</v>
      </c>
      <c r="AA104" s="13">
        <v>5</v>
      </c>
      <c r="AB104" s="49" t="s">
        <v>316</v>
      </c>
      <c r="AC104" s="23">
        <v>0</v>
      </c>
      <c r="AD104" s="47">
        <v>360</v>
      </c>
      <c r="AE104" s="23">
        <v>0</v>
      </c>
      <c r="AF104" s="23">
        <v>0</v>
      </c>
      <c r="AG104" s="14">
        <v>3</v>
      </c>
      <c r="AH104" s="23">
        <v>6</v>
      </c>
      <c r="AI104" s="23">
        <v>0</v>
      </c>
      <c r="AJ104" s="23">
        <v>0</v>
      </c>
      <c r="AK104" s="23" t="s">
        <v>211</v>
      </c>
      <c r="AL104" s="14">
        <v>110</v>
      </c>
      <c r="AM104" s="23">
        <v>15</v>
      </c>
      <c r="AN104" s="23">
        <v>0</v>
      </c>
      <c r="AO104" s="23">
        <v>0</v>
      </c>
      <c r="AP104" s="23">
        <v>0</v>
      </c>
      <c r="AQ104" s="23">
        <v>0</v>
      </c>
      <c r="AR104" s="23">
        <v>0</v>
      </c>
      <c r="AS104" s="23">
        <v>0</v>
      </c>
      <c r="AT104" s="23">
        <v>0</v>
      </c>
      <c r="AU104" s="23">
        <v>0</v>
      </c>
      <c r="AV104" s="23">
        <v>0</v>
      </c>
      <c r="AW104" s="23">
        <v>1</v>
      </c>
      <c r="AX104" s="23">
        <v>0</v>
      </c>
      <c r="AY104" s="23">
        <v>1</v>
      </c>
      <c r="AZ104" s="23">
        <v>0</v>
      </c>
      <c r="BA104" s="29">
        <v>1</v>
      </c>
      <c r="BB104" s="23">
        <v>0</v>
      </c>
      <c r="BC104" s="23">
        <v>1</v>
      </c>
      <c r="BD104" s="13">
        <v>0.9</v>
      </c>
      <c r="BE104" s="23">
        <f t="shared" si="33"/>
        <v>24</v>
      </c>
      <c r="BF104" s="23">
        <v>0</v>
      </c>
      <c r="BG104" s="23">
        <v>0</v>
      </c>
      <c r="BH104" s="23">
        <v>0</v>
      </c>
      <c r="BI104" s="14">
        <v>12</v>
      </c>
      <c r="BJ104" s="14">
        <v>5</v>
      </c>
      <c r="BK104" s="14" t="s">
        <v>9</v>
      </c>
      <c r="BL104" s="23"/>
      <c r="BM104" s="14">
        <v>1</v>
      </c>
      <c r="BN104" s="14"/>
      <c r="BO104" s="14"/>
      <c r="BP104" s="14"/>
      <c r="BQ104" s="13"/>
      <c r="BR104" s="14"/>
      <c r="BS104" s="14"/>
      <c r="BT104" s="13"/>
      <c r="BU104" s="13"/>
      <c r="BV104" s="13"/>
      <c r="BW104" s="15"/>
      <c r="BX104" s="43" t="s">
        <v>226</v>
      </c>
      <c r="BY104" s="15" t="str">
        <f>"Approx "&amp;TEXT((2*AA104),0)&amp;" (2*SP)"</f>
        <v>Approx 10 (2*SP)</v>
      </c>
      <c r="BZ104" s="51" t="s">
        <v>254</v>
      </c>
    </row>
    <row r="105" spans="1:78" s="75" customFormat="1" ht="26.25" thickBot="1" x14ac:dyDescent="0.25">
      <c r="A105" s="53">
        <v>46</v>
      </c>
      <c r="B105" s="53" t="str">
        <f t="shared" si="34"/>
        <v>EMITTER_46</v>
      </c>
      <c r="C105" s="53">
        <f t="shared" si="39"/>
        <v>230</v>
      </c>
      <c r="D105" s="12">
        <f t="shared" si="35"/>
        <v>46001</v>
      </c>
      <c r="E105" s="53">
        <v>1</v>
      </c>
      <c r="F105" s="66" t="s">
        <v>261</v>
      </c>
      <c r="G105" s="53" t="str">
        <f t="shared" si="40"/>
        <v>Z046Z</v>
      </c>
      <c r="H105" s="57" t="s">
        <v>68</v>
      </c>
      <c r="I105" s="57"/>
      <c r="J105" s="57"/>
      <c r="K105" s="57"/>
      <c r="L105" s="53">
        <v>13000</v>
      </c>
      <c r="M105" s="53">
        <v>13000</v>
      </c>
      <c r="N105" s="53">
        <f t="shared" ref="N105:N116" si="41">M105-L105</f>
        <v>0</v>
      </c>
      <c r="O105" s="29">
        <f t="shared" si="36"/>
        <v>0</v>
      </c>
      <c r="P105" s="61" t="s">
        <v>6</v>
      </c>
      <c r="Q105" s="61"/>
      <c r="R105" s="118">
        <v>600</v>
      </c>
      <c r="S105" s="107">
        <v>642</v>
      </c>
      <c r="T105" s="55">
        <f t="shared" si="37"/>
        <v>42</v>
      </c>
      <c r="U105" s="61" t="s">
        <v>109</v>
      </c>
      <c r="V105" s="56" t="s">
        <v>150</v>
      </c>
      <c r="W105" s="118">
        <v>2</v>
      </c>
      <c r="X105" s="118">
        <v>2</v>
      </c>
      <c r="Y105" s="55">
        <f t="shared" si="38"/>
        <v>0</v>
      </c>
      <c r="Z105" s="55">
        <v>3</v>
      </c>
      <c r="AA105" s="55">
        <v>3</v>
      </c>
      <c r="AB105" s="59" t="s">
        <v>316</v>
      </c>
      <c r="AC105" s="57">
        <v>0</v>
      </c>
      <c r="AD105" s="58">
        <v>360</v>
      </c>
      <c r="AE105" s="57">
        <v>0</v>
      </c>
      <c r="AF105" s="58">
        <v>0</v>
      </c>
      <c r="AG105" s="52">
        <v>4</v>
      </c>
      <c r="AH105" s="57">
        <v>6</v>
      </c>
      <c r="AI105" s="57">
        <v>0</v>
      </c>
      <c r="AJ105" s="57">
        <v>0</v>
      </c>
      <c r="AK105" s="57">
        <v>0</v>
      </c>
      <c r="AL105" s="69">
        <v>100</v>
      </c>
      <c r="AM105" s="57">
        <v>20</v>
      </c>
      <c r="AN105" s="57">
        <v>0</v>
      </c>
      <c r="AO105" s="57">
        <v>0</v>
      </c>
      <c r="AP105" s="57">
        <v>0</v>
      </c>
      <c r="AQ105" s="57">
        <v>0</v>
      </c>
      <c r="AR105" s="57">
        <v>0</v>
      </c>
      <c r="AS105" s="57">
        <v>0</v>
      </c>
      <c r="AT105" s="57">
        <v>0</v>
      </c>
      <c r="AU105" s="57">
        <v>0</v>
      </c>
      <c r="AV105" s="57">
        <v>0</v>
      </c>
      <c r="AW105" s="57">
        <v>2</v>
      </c>
      <c r="AX105" s="57">
        <v>0</v>
      </c>
      <c r="AY105" s="57">
        <v>1</v>
      </c>
      <c r="AZ105" s="57">
        <v>0</v>
      </c>
      <c r="BA105" s="53">
        <v>1</v>
      </c>
      <c r="BB105" s="57">
        <v>0</v>
      </c>
      <c r="BC105" s="57">
        <v>0</v>
      </c>
      <c r="BD105" s="57">
        <v>0.9</v>
      </c>
      <c r="BE105" s="57">
        <f t="shared" si="33"/>
        <v>20</v>
      </c>
      <c r="BF105" s="57">
        <v>0</v>
      </c>
      <c r="BG105" s="57">
        <v>0</v>
      </c>
      <c r="BH105" s="58">
        <v>700</v>
      </c>
      <c r="BI105" s="52">
        <v>10</v>
      </c>
      <c r="BJ105" s="52">
        <v>4</v>
      </c>
      <c r="BK105" s="52" t="s">
        <v>9</v>
      </c>
      <c r="BL105" s="65"/>
      <c r="BM105" s="52">
        <v>1</v>
      </c>
      <c r="BN105" s="52"/>
      <c r="BO105" s="52"/>
      <c r="BP105" s="52"/>
      <c r="BQ105" s="55"/>
      <c r="BR105" s="52"/>
      <c r="BS105" s="52"/>
      <c r="BT105" s="55"/>
      <c r="BU105" s="55"/>
      <c r="BV105" s="55"/>
      <c r="BW105" s="56"/>
      <c r="BX105" s="60" t="s">
        <v>225</v>
      </c>
      <c r="BY105" s="56" t="str">
        <f>"Approx "&amp;TEXT((2*AA105),0)&amp;" (2*SP)"</f>
        <v>Approx 6 (2*SP)</v>
      </c>
      <c r="BZ105" s="62" t="s">
        <v>253</v>
      </c>
    </row>
    <row r="106" spans="1:78" s="30" customFormat="1" ht="26.25" thickBot="1" x14ac:dyDescent="0.25">
      <c r="A106" s="14">
        <v>47</v>
      </c>
      <c r="B106" s="29" t="str">
        <f t="shared" si="34"/>
        <v>EMITTER_47</v>
      </c>
      <c r="C106" s="29">
        <f t="shared" si="39"/>
        <v>235</v>
      </c>
      <c r="D106" s="12">
        <f t="shared" si="35"/>
        <v>47001</v>
      </c>
      <c r="E106" s="12">
        <v>1</v>
      </c>
      <c r="F106" s="13" t="s">
        <v>26</v>
      </c>
      <c r="G106" s="29" t="str">
        <f t="shared" si="40"/>
        <v>Z047Z</v>
      </c>
      <c r="H106" s="13" t="s">
        <v>28</v>
      </c>
      <c r="I106" s="13"/>
      <c r="J106" s="13"/>
      <c r="K106" s="13"/>
      <c r="L106" s="14">
        <v>2600</v>
      </c>
      <c r="M106" s="14">
        <v>2660</v>
      </c>
      <c r="N106" s="29">
        <f t="shared" si="41"/>
        <v>60</v>
      </c>
      <c r="O106" s="29">
        <f t="shared" si="36"/>
        <v>60</v>
      </c>
      <c r="P106" s="15" t="s">
        <v>6</v>
      </c>
      <c r="Q106" s="15"/>
      <c r="R106" s="113">
        <v>4000</v>
      </c>
      <c r="S106" s="101">
        <v>4100</v>
      </c>
      <c r="T106" s="13">
        <f t="shared" si="37"/>
        <v>100</v>
      </c>
      <c r="U106" s="15" t="s">
        <v>6</v>
      </c>
      <c r="V106" s="15"/>
      <c r="W106" s="113">
        <v>3</v>
      </c>
      <c r="X106" s="113">
        <v>4</v>
      </c>
      <c r="Y106" s="13">
        <f t="shared" si="38"/>
        <v>1</v>
      </c>
      <c r="Z106" s="13">
        <v>22</v>
      </c>
      <c r="AA106" s="13">
        <v>22</v>
      </c>
      <c r="AB106" s="51" t="s">
        <v>321</v>
      </c>
      <c r="AC106" s="23">
        <v>100</v>
      </c>
      <c r="AD106" s="23">
        <v>60</v>
      </c>
      <c r="AE106" s="23">
        <v>0</v>
      </c>
      <c r="AF106" s="47">
        <v>0</v>
      </c>
      <c r="AG106" s="14">
        <v>3</v>
      </c>
      <c r="AH106" s="47">
        <v>1</v>
      </c>
      <c r="AI106" s="47">
        <v>0</v>
      </c>
      <c r="AJ106" s="47">
        <v>0</v>
      </c>
      <c r="AK106" s="23">
        <v>0</v>
      </c>
      <c r="AL106" s="14">
        <v>110</v>
      </c>
      <c r="AM106" s="23">
        <v>15</v>
      </c>
      <c r="AN106" s="23">
        <v>0</v>
      </c>
      <c r="AO106" s="23">
        <v>0</v>
      </c>
      <c r="AP106" s="23">
        <v>0</v>
      </c>
      <c r="AQ106" s="23">
        <v>0</v>
      </c>
      <c r="AR106" s="47">
        <v>30</v>
      </c>
      <c r="AS106" s="47">
        <v>30</v>
      </c>
      <c r="AT106" s="23">
        <v>0</v>
      </c>
      <c r="AU106" s="23">
        <v>0</v>
      </c>
      <c r="AV106" s="23">
        <v>0</v>
      </c>
      <c r="AW106" s="23">
        <v>4</v>
      </c>
      <c r="AX106" s="23">
        <v>0</v>
      </c>
      <c r="AY106" s="23">
        <v>1</v>
      </c>
      <c r="AZ106" s="23">
        <v>7</v>
      </c>
      <c r="BA106" s="29">
        <v>1</v>
      </c>
      <c r="BB106" s="23">
        <v>0</v>
      </c>
      <c r="BC106" s="23">
        <v>0</v>
      </c>
      <c r="BD106" s="23">
        <v>0.9</v>
      </c>
      <c r="BE106" s="47">
        <v>20</v>
      </c>
      <c r="BF106" s="23">
        <v>1</v>
      </c>
      <c r="BG106" s="23">
        <v>0</v>
      </c>
      <c r="BH106" s="23">
        <v>0</v>
      </c>
      <c r="BI106" s="14" t="s">
        <v>133</v>
      </c>
      <c r="BJ106" s="14">
        <v>5</v>
      </c>
      <c r="BK106" s="14" t="s">
        <v>25</v>
      </c>
      <c r="BL106" s="23"/>
      <c r="BM106" s="14">
        <v>1</v>
      </c>
      <c r="BN106" s="14"/>
      <c r="BO106" s="14"/>
      <c r="BP106" s="14"/>
      <c r="BQ106" s="13"/>
      <c r="BR106" s="14">
        <v>1</v>
      </c>
      <c r="BS106" s="14"/>
      <c r="BT106" s="13"/>
      <c r="BU106" s="13"/>
      <c r="BV106" s="13"/>
      <c r="BW106" s="15"/>
      <c r="BX106" s="43" t="s">
        <v>226</v>
      </c>
      <c r="BY106" s="15" t="str">
        <f>"Approx "&amp;TEXT((3*AA106),0)&amp;" (3*SP)"</f>
        <v>Approx 66 (3*SP)</v>
      </c>
      <c r="BZ106" s="51" t="s">
        <v>254</v>
      </c>
    </row>
    <row r="107" spans="1:78" s="75" customFormat="1" ht="26.25" thickBot="1" x14ac:dyDescent="0.25">
      <c r="A107" s="52">
        <v>48</v>
      </c>
      <c r="B107" s="53" t="str">
        <f t="shared" si="34"/>
        <v>EMITTER_48</v>
      </c>
      <c r="C107" s="53">
        <f t="shared" si="39"/>
        <v>240</v>
      </c>
      <c r="D107" s="12">
        <f t="shared" si="35"/>
        <v>48003</v>
      </c>
      <c r="E107" s="54">
        <v>3</v>
      </c>
      <c r="F107" s="55" t="s">
        <v>74</v>
      </c>
      <c r="G107" s="53" t="str">
        <f t="shared" si="40"/>
        <v>Z048Z</v>
      </c>
      <c r="H107" s="55" t="s">
        <v>17</v>
      </c>
      <c r="I107" s="55"/>
      <c r="J107" s="55"/>
      <c r="K107" s="55"/>
      <c r="L107" s="52">
        <v>1200</v>
      </c>
      <c r="M107" s="52">
        <v>1250</v>
      </c>
      <c r="N107" s="53">
        <f t="shared" si="41"/>
        <v>50</v>
      </c>
      <c r="O107" s="29">
        <f t="shared" si="36"/>
        <v>50</v>
      </c>
      <c r="P107" s="56" t="s">
        <v>6</v>
      </c>
      <c r="Q107" s="56"/>
      <c r="R107" s="117">
        <v>200</v>
      </c>
      <c r="S107" s="106">
        <v>250</v>
      </c>
      <c r="T107" s="55">
        <f t="shared" si="37"/>
        <v>50</v>
      </c>
      <c r="U107" s="56" t="s">
        <v>109</v>
      </c>
      <c r="V107" s="56" t="s">
        <v>257</v>
      </c>
      <c r="W107" s="117">
        <v>0.65</v>
      </c>
      <c r="X107" s="117">
        <v>0.65</v>
      </c>
      <c r="Y107" s="55">
        <f t="shared" si="38"/>
        <v>0</v>
      </c>
      <c r="Z107" s="55">
        <v>0</v>
      </c>
      <c r="AA107" s="55">
        <v>0</v>
      </c>
      <c r="AB107" s="55" t="s">
        <v>12</v>
      </c>
      <c r="AC107" s="57">
        <v>0</v>
      </c>
      <c r="AD107" s="57">
        <v>0</v>
      </c>
      <c r="AE107" s="57">
        <v>0</v>
      </c>
      <c r="AF107" s="57">
        <v>9999</v>
      </c>
      <c r="AG107" s="52">
        <v>2</v>
      </c>
      <c r="AH107" s="57">
        <v>6</v>
      </c>
      <c r="AI107" s="57">
        <v>0</v>
      </c>
      <c r="AJ107" s="57">
        <v>0</v>
      </c>
      <c r="AK107" s="57">
        <v>0</v>
      </c>
      <c r="AL107" s="52">
        <v>90</v>
      </c>
      <c r="AM107" s="57">
        <v>15</v>
      </c>
      <c r="AN107" s="57">
        <v>0</v>
      </c>
      <c r="AO107" s="57">
        <v>0</v>
      </c>
      <c r="AP107" s="57">
        <v>0</v>
      </c>
      <c r="AQ107" s="57">
        <v>0</v>
      </c>
      <c r="AR107" s="57">
        <v>0</v>
      </c>
      <c r="AS107" s="57">
        <v>0</v>
      </c>
      <c r="AT107" s="57">
        <v>0</v>
      </c>
      <c r="AU107" s="57">
        <v>0</v>
      </c>
      <c r="AV107" s="57">
        <v>0</v>
      </c>
      <c r="AW107" s="57">
        <v>1</v>
      </c>
      <c r="AX107" s="57">
        <v>0</v>
      </c>
      <c r="AY107" s="57">
        <v>1</v>
      </c>
      <c r="AZ107" s="57">
        <v>8</v>
      </c>
      <c r="BA107" s="53">
        <v>1</v>
      </c>
      <c r="BB107" s="57">
        <v>0</v>
      </c>
      <c r="BC107" s="57">
        <v>0</v>
      </c>
      <c r="BD107" s="57">
        <v>0.9</v>
      </c>
      <c r="BE107" s="57">
        <f t="shared" ref="BE107:BE116" si="42">2*BI107</f>
        <v>40</v>
      </c>
      <c r="BF107" s="57">
        <v>0</v>
      </c>
      <c r="BG107" s="57">
        <v>0</v>
      </c>
      <c r="BH107" s="57">
        <v>0</v>
      </c>
      <c r="BI107" s="52">
        <v>20</v>
      </c>
      <c r="BJ107" s="52">
        <v>4</v>
      </c>
      <c r="BK107" s="52" t="s">
        <v>9</v>
      </c>
      <c r="BL107" s="65"/>
      <c r="BM107" s="52"/>
      <c r="BN107" s="52"/>
      <c r="BO107" s="52">
        <v>1</v>
      </c>
      <c r="BP107" s="52"/>
      <c r="BQ107" s="55"/>
      <c r="BR107" s="52">
        <v>1</v>
      </c>
      <c r="BS107" s="52"/>
      <c r="BT107" s="55"/>
      <c r="BU107" s="57"/>
      <c r="BV107" s="57"/>
      <c r="BW107" s="56"/>
      <c r="BX107" s="60" t="s">
        <v>226</v>
      </c>
      <c r="BY107" s="56" t="str">
        <f>"Approx "&amp;TEXT((2*AA107),0)&amp;" (2*SP)"</f>
        <v>Approx 0 (2*SP)</v>
      </c>
      <c r="BZ107" s="62" t="s">
        <v>254</v>
      </c>
    </row>
    <row r="108" spans="1:78" s="75" customFormat="1" ht="26.25" thickBot="1" x14ac:dyDescent="0.25">
      <c r="A108" s="52">
        <v>48</v>
      </c>
      <c r="B108" s="53" t="str">
        <f t="shared" si="34"/>
        <v>EMITTER_48</v>
      </c>
      <c r="C108" s="53">
        <f t="shared" si="39"/>
        <v>240</v>
      </c>
      <c r="D108" s="12">
        <f t="shared" si="35"/>
        <v>48001</v>
      </c>
      <c r="E108" s="54">
        <v>1</v>
      </c>
      <c r="F108" s="55" t="s">
        <v>72</v>
      </c>
      <c r="G108" s="53" t="str">
        <f t="shared" si="40"/>
        <v>Z048Z</v>
      </c>
      <c r="H108" s="55" t="s">
        <v>24</v>
      </c>
      <c r="I108" s="55"/>
      <c r="J108" s="55"/>
      <c r="K108" s="55"/>
      <c r="L108" s="52">
        <v>8800</v>
      </c>
      <c r="M108" s="52">
        <v>9000</v>
      </c>
      <c r="N108" s="53">
        <f t="shared" si="41"/>
        <v>200</v>
      </c>
      <c r="O108" s="29">
        <f t="shared" si="36"/>
        <v>200</v>
      </c>
      <c r="P108" s="56" t="s">
        <v>6</v>
      </c>
      <c r="Q108" s="56"/>
      <c r="R108" s="114">
        <v>300</v>
      </c>
      <c r="S108" s="102">
        <v>340</v>
      </c>
      <c r="T108" s="55">
        <f t="shared" si="37"/>
        <v>40</v>
      </c>
      <c r="U108" s="56" t="s">
        <v>11</v>
      </c>
      <c r="V108" s="56" t="s">
        <v>256</v>
      </c>
      <c r="W108" s="117">
        <v>0.65</v>
      </c>
      <c r="X108" s="117">
        <v>0.65</v>
      </c>
      <c r="Y108" s="55">
        <f t="shared" si="38"/>
        <v>0</v>
      </c>
      <c r="Z108" s="55">
        <v>12</v>
      </c>
      <c r="AA108" s="55">
        <v>12</v>
      </c>
      <c r="AB108" s="59" t="s">
        <v>316</v>
      </c>
      <c r="AC108" s="57">
        <v>0</v>
      </c>
      <c r="AD108" s="58">
        <v>360</v>
      </c>
      <c r="AE108" s="57">
        <v>0</v>
      </c>
      <c r="AF108" s="58">
        <v>0</v>
      </c>
      <c r="AG108" s="52">
        <v>2</v>
      </c>
      <c r="AH108" s="57">
        <v>6</v>
      </c>
      <c r="AI108" s="57">
        <v>0</v>
      </c>
      <c r="AJ108" s="57">
        <v>0</v>
      </c>
      <c r="AK108" s="57">
        <v>0</v>
      </c>
      <c r="AL108" s="52">
        <v>110</v>
      </c>
      <c r="AM108" s="57">
        <v>15</v>
      </c>
      <c r="AN108" s="57">
        <v>0</v>
      </c>
      <c r="AO108" s="57">
        <v>0</v>
      </c>
      <c r="AP108" s="57">
        <v>0</v>
      </c>
      <c r="AQ108" s="57">
        <v>0</v>
      </c>
      <c r="AR108" s="57">
        <v>0</v>
      </c>
      <c r="AS108" s="57">
        <v>0</v>
      </c>
      <c r="AT108" s="57">
        <v>0</v>
      </c>
      <c r="AU108" s="57">
        <v>0</v>
      </c>
      <c r="AV108" s="57">
        <v>0</v>
      </c>
      <c r="AW108" s="57">
        <v>1</v>
      </c>
      <c r="AX108" s="57">
        <v>0</v>
      </c>
      <c r="AY108" s="57">
        <v>1</v>
      </c>
      <c r="AZ108" s="57">
        <v>0</v>
      </c>
      <c r="BA108" s="53">
        <v>1</v>
      </c>
      <c r="BB108" s="57">
        <v>0</v>
      </c>
      <c r="BC108" s="57">
        <v>0</v>
      </c>
      <c r="BD108" s="57">
        <v>0.9</v>
      </c>
      <c r="BE108" s="57">
        <f t="shared" si="42"/>
        <v>40</v>
      </c>
      <c r="BF108" s="57">
        <v>0</v>
      </c>
      <c r="BG108" s="57">
        <v>0</v>
      </c>
      <c r="BH108" s="57">
        <v>0</v>
      </c>
      <c r="BI108" s="52">
        <v>20</v>
      </c>
      <c r="BJ108" s="52">
        <v>2</v>
      </c>
      <c r="BK108" s="52" t="s">
        <v>9</v>
      </c>
      <c r="BL108" s="65"/>
      <c r="BM108" s="52">
        <v>1</v>
      </c>
      <c r="BN108" s="52"/>
      <c r="BO108" s="52"/>
      <c r="BP108" s="52"/>
      <c r="BQ108" s="55"/>
      <c r="BR108" s="52"/>
      <c r="BS108" s="52"/>
      <c r="BT108" s="55"/>
      <c r="BU108" s="55"/>
      <c r="BV108" s="55"/>
      <c r="BW108" s="56"/>
      <c r="BX108" s="60" t="s">
        <v>225</v>
      </c>
      <c r="BY108" s="56">
        <v>4</v>
      </c>
      <c r="BZ108" s="62" t="s">
        <v>254</v>
      </c>
    </row>
    <row r="109" spans="1:78" s="75" customFormat="1" ht="26.25" thickBot="1" x14ac:dyDescent="0.25">
      <c r="A109" s="52">
        <v>48</v>
      </c>
      <c r="B109" s="53" t="str">
        <f t="shared" si="34"/>
        <v>EMITTER_48</v>
      </c>
      <c r="C109" s="53">
        <f t="shared" si="39"/>
        <v>240</v>
      </c>
      <c r="D109" s="12">
        <f t="shared" si="35"/>
        <v>48002</v>
      </c>
      <c r="E109" s="54">
        <v>2</v>
      </c>
      <c r="F109" s="55" t="s">
        <v>73</v>
      </c>
      <c r="G109" s="53" t="str">
        <f t="shared" si="40"/>
        <v>Z048Z</v>
      </c>
      <c r="H109" s="55" t="s">
        <v>5</v>
      </c>
      <c r="I109" s="55"/>
      <c r="J109" s="55"/>
      <c r="K109" s="55"/>
      <c r="L109" s="52">
        <v>8800</v>
      </c>
      <c r="M109" s="52">
        <v>9000</v>
      </c>
      <c r="N109" s="53">
        <f t="shared" si="41"/>
        <v>200</v>
      </c>
      <c r="O109" s="29">
        <f t="shared" si="36"/>
        <v>200</v>
      </c>
      <c r="P109" s="56" t="s">
        <v>6</v>
      </c>
      <c r="Q109" s="56"/>
      <c r="R109" s="117">
        <v>200</v>
      </c>
      <c r="S109" s="106">
        <v>250</v>
      </c>
      <c r="T109" s="55">
        <f t="shared" si="37"/>
        <v>50</v>
      </c>
      <c r="U109" s="56" t="s">
        <v>11</v>
      </c>
      <c r="V109" s="56" t="s">
        <v>257</v>
      </c>
      <c r="W109" s="117">
        <v>0.65</v>
      </c>
      <c r="X109" s="117">
        <v>0.65</v>
      </c>
      <c r="Y109" s="55">
        <f t="shared" si="38"/>
        <v>0</v>
      </c>
      <c r="Z109" s="55">
        <v>0</v>
      </c>
      <c r="AA109" s="55">
        <v>0</v>
      </c>
      <c r="AB109" s="55" t="s">
        <v>12</v>
      </c>
      <c r="AC109" s="57">
        <v>0</v>
      </c>
      <c r="AD109" s="57">
        <v>0</v>
      </c>
      <c r="AE109" s="57">
        <v>0</v>
      </c>
      <c r="AF109" s="57">
        <v>9999</v>
      </c>
      <c r="AG109" s="52">
        <v>2</v>
      </c>
      <c r="AH109" s="57">
        <v>6</v>
      </c>
      <c r="AI109" s="57">
        <v>0</v>
      </c>
      <c r="AJ109" s="57">
        <v>0</v>
      </c>
      <c r="AK109" s="57">
        <v>0</v>
      </c>
      <c r="AL109" s="52">
        <v>110</v>
      </c>
      <c r="AM109" s="57">
        <v>15</v>
      </c>
      <c r="AN109" s="57">
        <v>0</v>
      </c>
      <c r="AO109" s="57">
        <v>0</v>
      </c>
      <c r="AP109" s="57">
        <v>0</v>
      </c>
      <c r="AQ109" s="57">
        <v>0</v>
      </c>
      <c r="AR109" s="57">
        <v>0</v>
      </c>
      <c r="AS109" s="57">
        <v>0</v>
      </c>
      <c r="AT109" s="57">
        <v>0</v>
      </c>
      <c r="AU109" s="57">
        <v>0</v>
      </c>
      <c r="AV109" s="57">
        <v>0</v>
      </c>
      <c r="AW109" s="57">
        <v>1</v>
      </c>
      <c r="AX109" s="57">
        <v>0</v>
      </c>
      <c r="AY109" s="57">
        <v>1</v>
      </c>
      <c r="AZ109" s="57">
        <v>8</v>
      </c>
      <c r="BA109" s="53">
        <v>1</v>
      </c>
      <c r="BB109" s="57">
        <v>0</v>
      </c>
      <c r="BC109" s="57">
        <v>0</v>
      </c>
      <c r="BD109" s="57">
        <v>0.9</v>
      </c>
      <c r="BE109" s="57">
        <f t="shared" si="42"/>
        <v>40</v>
      </c>
      <c r="BF109" s="57">
        <v>0</v>
      </c>
      <c r="BG109" s="57">
        <v>0</v>
      </c>
      <c r="BH109" s="57">
        <v>0</v>
      </c>
      <c r="BI109" s="52">
        <v>20</v>
      </c>
      <c r="BJ109" s="52">
        <v>4</v>
      </c>
      <c r="BK109" s="52" t="s">
        <v>9</v>
      </c>
      <c r="BL109" s="65"/>
      <c r="BM109" s="52">
        <v>1</v>
      </c>
      <c r="BN109" s="52"/>
      <c r="BO109" s="52"/>
      <c r="BP109" s="52"/>
      <c r="BQ109" s="55"/>
      <c r="BR109" s="52"/>
      <c r="BS109" s="52"/>
      <c r="BT109" s="55"/>
      <c r="BU109" s="78"/>
      <c r="BV109" s="78"/>
      <c r="BW109" s="56"/>
      <c r="BX109" s="60" t="s">
        <v>225</v>
      </c>
      <c r="BY109" s="56">
        <v>2</v>
      </c>
      <c r="BZ109" s="62" t="s">
        <v>254</v>
      </c>
    </row>
    <row r="110" spans="1:78" s="30" customFormat="1" ht="26.25" thickBot="1" x14ac:dyDescent="0.25">
      <c r="A110" s="14">
        <v>49</v>
      </c>
      <c r="B110" s="29" t="str">
        <f t="shared" si="34"/>
        <v>EMITTER_49</v>
      </c>
      <c r="C110" s="29">
        <f t="shared" si="39"/>
        <v>245</v>
      </c>
      <c r="D110" s="12">
        <f t="shared" si="35"/>
        <v>49001</v>
      </c>
      <c r="E110" s="12">
        <v>1</v>
      </c>
      <c r="F110" s="13" t="s">
        <v>82</v>
      </c>
      <c r="G110" s="29" t="str">
        <f t="shared" si="40"/>
        <v>Z049Z</v>
      </c>
      <c r="H110" s="13" t="s">
        <v>5</v>
      </c>
      <c r="I110" s="13"/>
      <c r="J110" s="13"/>
      <c r="K110" s="13"/>
      <c r="L110" s="14">
        <v>8000</v>
      </c>
      <c r="M110" s="14">
        <v>8100</v>
      </c>
      <c r="N110" s="29">
        <f t="shared" si="41"/>
        <v>100</v>
      </c>
      <c r="O110" s="29">
        <f t="shared" si="36"/>
        <v>100</v>
      </c>
      <c r="P110" s="15" t="s">
        <v>6</v>
      </c>
      <c r="Q110" s="15"/>
      <c r="R110" s="113">
        <v>700</v>
      </c>
      <c r="S110" s="101">
        <v>800</v>
      </c>
      <c r="T110" s="13">
        <f t="shared" si="37"/>
        <v>100</v>
      </c>
      <c r="U110" s="15" t="s">
        <v>109</v>
      </c>
      <c r="V110" s="15" t="s">
        <v>132</v>
      </c>
      <c r="W110" s="113">
        <v>5</v>
      </c>
      <c r="X110" s="113">
        <v>50</v>
      </c>
      <c r="Y110" s="13">
        <f t="shared" si="38"/>
        <v>45</v>
      </c>
      <c r="Z110" s="79">
        <v>2</v>
      </c>
      <c r="AA110" s="79">
        <v>2</v>
      </c>
      <c r="AB110" s="49" t="s">
        <v>316</v>
      </c>
      <c r="AC110" s="23">
        <v>100</v>
      </c>
      <c r="AD110" s="23">
        <v>24</v>
      </c>
      <c r="AE110" s="23">
        <v>0</v>
      </c>
      <c r="AF110" s="23">
        <v>0</v>
      </c>
      <c r="AG110" s="14">
        <v>3</v>
      </c>
      <c r="AH110" s="23">
        <v>8</v>
      </c>
      <c r="AI110" s="47">
        <v>0</v>
      </c>
      <c r="AJ110" s="47">
        <v>0</v>
      </c>
      <c r="AK110" s="23">
        <v>0</v>
      </c>
      <c r="AL110" s="14">
        <v>90</v>
      </c>
      <c r="AM110" s="23">
        <v>15</v>
      </c>
      <c r="AN110" s="23">
        <v>0</v>
      </c>
      <c r="AO110" s="23">
        <v>0</v>
      </c>
      <c r="AP110" s="23">
        <v>0</v>
      </c>
      <c r="AQ110" s="23">
        <v>0</v>
      </c>
      <c r="AR110" s="23">
        <v>1</v>
      </c>
      <c r="AS110" s="47">
        <v>0</v>
      </c>
      <c r="AT110" s="23">
        <v>0</v>
      </c>
      <c r="AU110" s="23">
        <v>0</v>
      </c>
      <c r="AV110" s="23">
        <v>0</v>
      </c>
      <c r="AW110" s="23">
        <v>1</v>
      </c>
      <c r="AX110" s="23">
        <v>1</v>
      </c>
      <c r="AY110" s="23">
        <v>1</v>
      </c>
      <c r="AZ110" s="47">
        <v>0</v>
      </c>
      <c r="BA110" s="29">
        <v>1</v>
      </c>
      <c r="BB110" s="23">
        <v>0</v>
      </c>
      <c r="BC110" s="23">
        <v>0</v>
      </c>
      <c r="BD110" s="23">
        <v>0.9</v>
      </c>
      <c r="BE110" s="23">
        <f t="shared" si="42"/>
        <v>20</v>
      </c>
      <c r="BF110" s="23">
        <v>0</v>
      </c>
      <c r="BG110" s="23">
        <v>0</v>
      </c>
      <c r="BH110" s="23">
        <v>400</v>
      </c>
      <c r="BI110" s="14">
        <v>10</v>
      </c>
      <c r="BJ110" s="14">
        <v>5</v>
      </c>
      <c r="BK110" s="14" t="s">
        <v>9</v>
      </c>
      <c r="BL110" s="23"/>
      <c r="BM110" s="14">
        <v>1</v>
      </c>
      <c r="BN110" s="14"/>
      <c r="BO110" s="14"/>
      <c r="BP110" s="14"/>
      <c r="BQ110" s="13"/>
      <c r="BR110" s="14"/>
      <c r="BS110" s="14"/>
      <c r="BT110" s="13"/>
      <c r="BU110" s="13"/>
      <c r="BV110" s="13"/>
      <c r="BW110" s="15"/>
      <c r="BX110" s="43" t="s">
        <v>225</v>
      </c>
      <c r="BY110" s="15" t="str">
        <f>"Approx "&amp;TEXT((2*AA110),0)&amp;" (2*SP)"</f>
        <v>Approx 4 (2*SP)</v>
      </c>
      <c r="BZ110" s="51" t="s">
        <v>253</v>
      </c>
    </row>
    <row r="111" spans="1:78" s="75" customFormat="1" ht="51.75" thickBot="1" x14ac:dyDescent="0.25">
      <c r="A111" s="52">
        <v>50</v>
      </c>
      <c r="B111" s="53" t="str">
        <f t="shared" si="34"/>
        <v>EMITTER_50</v>
      </c>
      <c r="C111" s="53">
        <v>247</v>
      </c>
      <c r="D111" s="12">
        <f t="shared" si="35"/>
        <v>50001</v>
      </c>
      <c r="E111" s="54">
        <v>1</v>
      </c>
      <c r="F111" s="55" t="s">
        <v>55</v>
      </c>
      <c r="G111" s="52" t="s">
        <v>167</v>
      </c>
      <c r="H111" s="55" t="s">
        <v>27</v>
      </c>
      <c r="I111" s="55"/>
      <c r="J111" s="55"/>
      <c r="K111" s="55"/>
      <c r="L111" s="52">
        <v>7100</v>
      </c>
      <c r="M111" s="52">
        <v>7200</v>
      </c>
      <c r="N111" s="53">
        <f t="shared" si="41"/>
        <v>100</v>
      </c>
      <c r="O111" s="29">
        <f t="shared" si="36"/>
        <v>100</v>
      </c>
      <c r="P111" s="56" t="s">
        <v>6</v>
      </c>
      <c r="Q111" s="56"/>
      <c r="R111" s="114">
        <v>5</v>
      </c>
      <c r="S111" s="102">
        <v>6</v>
      </c>
      <c r="T111" s="55">
        <f t="shared" si="37"/>
        <v>1</v>
      </c>
      <c r="U111" s="56" t="s">
        <v>6</v>
      </c>
      <c r="V111" s="56"/>
      <c r="W111" s="114">
        <v>2</v>
      </c>
      <c r="X111" s="114">
        <v>2</v>
      </c>
      <c r="Y111" s="55">
        <f t="shared" si="38"/>
        <v>0</v>
      </c>
      <c r="Z111" s="66">
        <v>0.21</v>
      </c>
      <c r="AA111" s="66">
        <v>0.24</v>
      </c>
      <c r="AB111" s="62" t="s">
        <v>318</v>
      </c>
      <c r="AC111" s="57">
        <v>50</v>
      </c>
      <c r="AD111" s="57">
        <v>60</v>
      </c>
      <c r="AE111" s="57">
        <v>0</v>
      </c>
      <c r="AF111" s="58">
        <v>4.8</v>
      </c>
      <c r="AG111" s="52">
        <v>3</v>
      </c>
      <c r="AH111" s="57">
        <v>6</v>
      </c>
      <c r="AI111" s="57">
        <v>3</v>
      </c>
      <c r="AJ111" s="57">
        <v>20</v>
      </c>
      <c r="AK111" s="57">
        <v>0</v>
      </c>
      <c r="AL111" s="52">
        <v>110</v>
      </c>
      <c r="AM111" s="57">
        <v>15</v>
      </c>
      <c r="AN111" s="57">
        <v>0</v>
      </c>
      <c r="AO111" s="57">
        <v>0</v>
      </c>
      <c r="AP111" s="57">
        <v>0</v>
      </c>
      <c r="AQ111" s="57">
        <v>0</v>
      </c>
      <c r="AR111" s="58">
        <v>1</v>
      </c>
      <c r="AS111" s="58">
        <v>0</v>
      </c>
      <c r="AT111" s="57">
        <v>0</v>
      </c>
      <c r="AU111" s="57">
        <v>0</v>
      </c>
      <c r="AV111" s="57">
        <v>0</v>
      </c>
      <c r="AW111" s="57">
        <v>4</v>
      </c>
      <c r="AX111" s="57">
        <v>1</v>
      </c>
      <c r="AY111" s="58">
        <v>0</v>
      </c>
      <c r="AZ111" s="58">
        <v>4</v>
      </c>
      <c r="BA111" s="76">
        <v>1</v>
      </c>
      <c r="BB111" s="58">
        <v>0</v>
      </c>
      <c r="BC111" s="58">
        <v>0</v>
      </c>
      <c r="BD111" s="58">
        <v>0.9</v>
      </c>
      <c r="BE111" s="57">
        <f t="shared" si="42"/>
        <v>50</v>
      </c>
      <c r="BF111" s="58">
        <v>1</v>
      </c>
      <c r="BG111" s="58">
        <v>0</v>
      </c>
      <c r="BH111" s="58">
        <v>400</v>
      </c>
      <c r="BI111" s="52">
        <v>25</v>
      </c>
      <c r="BJ111" s="52">
        <v>3</v>
      </c>
      <c r="BK111" s="52" t="s">
        <v>9</v>
      </c>
      <c r="BL111" s="65"/>
      <c r="BM111" s="52">
        <v>1</v>
      </c>
      <c r="BN111" s="52"/>
      <c r="BO111" s="52"/>
      <c r="BP111" s="52"/>
      <c r="BQ111" s="55"/>
      <c r="BR111" s="52"/>
      <c r="BS111" s="52"/>
      <c r="BT111" s="55"/>
      <c r="BU111" s="55"/>
      <c r="BV111" s="55"/>
      <c r="BW111" s="56" t="s">
        <v>136</v>
      </c>
      <c r="BX111" s="60" t="s">
        <v>226</v>
      </c>
      <c r="BY111" s="56" t="str">
        <f>"Approx "&amp;TEXT((3*AA111),0)&amp;" (3*SP)"</f>
        <v>Approx 1 (3*SP)</v>
      </c>
      <c r="BZ111" s="62" t="s">
        <v>253</v>
      </c>
    </row>
    <row r="112" spans="1:78" s="75" customFormat="1" ht="26.25" thickBot="1" x14ac:dyDescent="0.25">
      <c r="A112" s="52">
        <v>50</v>
      </c>
      <c r="B112" s="53" t="str">
        <f t="shared" si="34"/>
        <v>EMITTER_50</v>
      </c>
      <c r="C112" s="53">
        <v>247</v>
      </c>
      <c r="D112" s="12">
        <f t="shared" si="35"/>
        <v>50001</v>
      </c>
      <c r="E112" s="54">
        <v>1</v>
      </c>
      <c r="F112" s="55" t="s">
        <v>55</v>
      </c>
      <c r="G112" s="52" t="s">
        <v>168</v>
      </c>
      <c r="H112" s="55" t="s">
        <v>27</v>
      </c>
      <c r="I112" s="55"/>
      <c r="J112" s="55"/>
      <c r="K112" s="55"/>
      <c r="L112" s="52">
        <v>7100</v>
      </c>
      <c r="M112" s="52">
        <v>7200</v>
      </c>
      <c r="N112" s="53">
        <f t="shared" si="41"/>
        <v>100</v>
      </c>
      <c r="O112" s="29">
        <f t="shared" si="36"/>
        <v>100</v>
      </c>
      <c r="P112" s="64" t="s">
        <v>314</v>
      </c>
      <c r="Q112" s="56"/>
      <c r="R112" s="117">
        <v>0</v>
      </c>
      <c r="S112" s="106">
        <v>0</v>
      </c>
      <c r="T112" s="55">
        <f t="shared" si="37"/>
        <v>0</v>
      </c>
      <c r="U112" s="64" t="s">
        <v>18</v>
      </c>
      <c r="V112" s="56"/>
      <c r="W112" s="117">
        <v>0</v>
      </c>
      <c r="X112" s="117">
        <v>0</v>
      </c>
      <c r="Y112" s="55">
        <f t="shared" si="38"/>
        <v>0</v>
      </c>
      <c r="Z112" s="66">
        <v>0.11</v>
      </c>
      <c r="AA112" s="66">
        <v>0.13800000000000001</v>
      </c>
      <c r="AB112" s="62" t="s">
        <v>318</v>
      </c>
      <c r="AC112" s="57">
        <v>50</v>
      </c>
      <c r="AD112" s="57">
        <v>60</v>
      </c>
      <c r="AE112" s="57">
        <v>0</v>
      </c>
      <c r="AF112" s="58">
        <v>1.4</v>
      </c>
      <c r="AG112" s="52">
        <v>3</v>
      </c>
      <c r="AH112" s="57">
        <v>6</v>
      </c>
      <c r="AI112" s="57">
        <v>3</v>
      </c>
      <c r="AJ112" s="57">
        <v>20</v>
      </c>
      <c r="AK112" s="57">
        <v>0</v>
      </c>
      <c r="AL112" s="52">
        <v>110</v>
      </c>
      <c r="AM112" s="57">
        <v>15</v>
      </c>
      <c r="AN112" s="57">
        <v>0</v>
      </c>
      <c r="AO112" s="57">
        <v>0</v>
      </c>
      <c r="AP112" s="57">
        <v>0</v>
      </c>
      <c r="AQ112" s="57">
        <v>0</v>
      </c>
      <c r="AR112" s="58">
        <v>1</v>
      </c>
      <c r="AS112" s="58">
        <v>0</v>
      </c>
      <c r="AT112" s="57">
        <v>0</v>
      </c>
      <c r="AU112" s="57">
        <v>0</v>
      </c>
      <c r="AV112" s="57">
        <v>0</v>
      </c>
      <c r="AW112" s="57">
        <v>4</v>
      </c>
      <c r="AX112" s="57">
        <v>1</v>
      </c>
      <c r="AY112" s="58">
        <v>0</v>
      </c>
      <c r="AZ112" s="58">
        <v>4</v>
      </c>
      <c r="BA112" s="53">
        <v>1</v>
      </c>
      <c r="BB112" s="57">
        <v>0</v>
      </c>
      <c r="BC112" s="57">
        <v>0</v>
      </c>
      <c r="BD112" s="57">
        <v>0.9</v>
      </c>
      <c r="BE112" s="57">
        <f t="shared" si="42"/>
        <v>50</v>
      </c>
      <c r="BF112" s="57">
        <v>1</v>
      </c>
      <c r="BG112" s="57">
        <v>0</v>
      </c>
      <c r="BH112" s="57">
        <v>400</v>
      </c>
      <c r="BI112" s="52">
        <v>25</v>
      </c>
      <c r="BJ112" s="52">
        <v>3</v>
      </c>
      <c r="BK112" s="52" t="s">
        <v>9</v>
      </c>
      <c r="BL112" s="65"/>
      <c r="BM112" s="52">
        <v>1</v>
      </c>
      <c r="BN112" s="52"/>
      <c r="BO112" s="52"/>
      <c r="BP112" s="52"/>
      <c r="BQ112" s="55"/>
      <c r="BR112" s="52"/>
      <c r="BS112" s="52"/>
      <c r="BT112" s="55"/>
      <c r="BU112" s="55"/>
      <c r="BV112" s="55"/>
      <c r="BW112" s="64" t="s">
        <v>228</v>
      </c>
      <c r="BX112" s="60" t="s">
        <v>226</v>
      </c>
      <c r="BY112" s="56" t="str">
        <f>"Approx "&amp;TEXT((6*AA112),0)&amp;" (6*SP)"</f>
        <v>Approx 1 (6*SP)</v>
      </c>
      <c r="BZ112" s="62" t="s">
        <v>253</v>
      </c>
    </row>
    <row r="113" spans="1:78" s="75" customFormat="1" ht="13.5" thickBot="1" x14ac:dyDescent="0.25">
      <c r="A113" s="52">
        <v>50</v>
      </c>
      <c r="B113" s="53" t="str">
        <f t="shared" si="34"/>
        <v>EMITTER_50</v>
      </c>
      <c r="C113" s="53">
        <v>247</v>
      </c>
      <c r="D113" s="12">
        <f t="shared" si="35"/>
        <v>50002</v>
      </c>
      <c r="E113" s="54">
        <v>2</v>
      </c>
      <c r="F113" s="55" t="s">
        <v>54</v>
      </c>
      <c r="G113" s="52" t="s">
        <v>169</v>
      </c>
      <c r="H113" s="55" t="s">
        <v>5</v>
      </c>
      <c r="I113" s="55"/>
      <c r="J113" s="55"/>
      <c r="K113" s="55"/>
      <c r="L113" s="69">
        <v>7300</v>
      </c>
      <c r="M113" s="69">
        <v>7400</v>
      </c>
      <c r="N113" s="53">
        <f t="shared" si="41"/>
        <v>100</v>
      </c>
      <c r="O113" s="29">
        <f t="shared" si="36"/>
        <v>100</v>
      </c>
      <c r="P113" s="56" t="s">
        <v>6</v>
      </c>
      <c r="Q113" s="56"/>
      <c r="R113" s="114">
        <v>5</v>
      </c>
      <c r="S113" s="102">
        <v>6</v>
      </c>
      <c r="T113" s="55">
        <f t="shared" si="37"/>
        <v>1</v>
      </c>
      <c r="U113" s="56" t="s">
        <v>6</v>
      </c>
      <c r="V113" s="56"/>
      <c r="W113" s="114">
        <v>1</v>
      </c>
      <c r="X113" s="114">
        <v>1</v>
      </c>
      <c r="Y113" s="55">
        <f t="shared" si="38"/>
        <v>0</v>
      </c>
      <c r="Z113" s="55">
        <v>0</v>
      </c>
      <c r="AA113" s="55">
        <v>0</v>
      </c>
      <c r="AB113" s="55" t="s">
        <v>12</v>
      </c>
      <c r="AC113" s="57">
        <v>0</v>
      </c>
      <c r="AD113" s="57">
        <v>0</v>
      </c>
      <c r="AE113" s="57">
        <v>0</v>
      </c>
      <c r="AF113" s="57">
        <v>9999</v>
      </c>
      <c r="AG113" s="52">
        <v>3</v>
      </c>
      <c r="AH113" s="57">
        <v>6</v>
      </c>
      <c r="AI113" s="57">
        <v>0</v>
      </c>
      <c r="AJ113" s="57">
        <v>0</v>
      </c>
      <c r="AK113" s="57">
        <v>0</v>
      </c>
      <c r="AL113" s="52">
        <v>110</v>
      </c>
      <c r="AM113" s="57">
        <v>15</v>
      </c>
      <c r="AN113" s="57">
        <v>0</v>
      </c>
      <c r="AO113" s="57">
        <v>0</v>
      </c>
      <c r="AP113" s="57">
        <v>0</v>
      </c>
      <c r="AQ113" s="57">
        <v>0</v>
      </c>
      <c r="AR113" s="57">
        <v>0</v>
      </c>
      <c r="AS113" s="57">
        <v>0</v>
      </c>
      <c r="AT113" s="57">
        <v>0</v>
      </c>
      <c r="AU113" s="57">
        <v>0</v>
      </c>
      <c r="AV113" s="57">
        <v>0</v>
      </c>
      <c r="AW113" s="57">
        <v>4</v>
      </c>
      <c r="AX113" s="57">
        <v>1</v>
      </c>
      <c r="AY113" s="57">
        <v>1</v>
      </c>
      <c r="AZ113" s="57">
        <v>8</v>
      </c>
      <c r="BA113" s="53">
        <v>1</v>
      </c>
      <c r="BB113" s="57">
        <v>0</v>
      </c>
      <c r="BC113" s="57">
        <v>0</v>
      </c>
      <c r="BD113" s="57">
        <v>0.9</v>
      </c>
      <c r="BE113" s="57">
        <f t="shared" si="42"/>
        <v>50</v>
      </c>
      <c r="BF113" s="58">
        <v>0</v>
      </c>
      <c r="BG113" s="57">
        <v>0</v>
      </c>
      <c r="BH113" s="57">
        <v>400</v>
      </c>
      <c r="BI113" s="52">
        <v>25</v>
      </c>
      <c r="BJ113" s="52">
        <v>3</v>
      </c>
      <c r="BK113" s="52" t="s">
        <v>9</v>
      </c>
      <c r="BL113" s="65"/>
      <c r="BM113" s="52">
        <v>1</v>
      </c>
      <c r="BN113" s="52"/>
      <c r="BO113" s="52"/>
      <c r="BP113" s="52"/>
      <c r="BQ113" s="55"/>
      <c r="BR113" s="52"/>
      <c r="BS113" s="52"/>
      <c r="BT113" s="55"/>
      <c r="BU113" s="55"/>
      <c r="BV113" s="55"/>
      <c r="BW113" s="56"/>
      <c r="BX113" s="60" t="s">
        <v>225</v>
      </c>
      <c r="BY113" s="56">
        <v>4</v>
      </c>
      <c r="BZ113" s="62" t="s">
        <v>253</v>
      </c>
    </row>
    <row r="114" spans="1:78" s="75" customFormat="1" ht="13.5" thickBot="1" x14ac:dyDescent="0.25">
      <c r="A114" s="52">
        <v>50</v>
      </c>
      <c r="B114" s="53" t="str">
        <f t="shared" si="34"/>
        <v>EMITTER_50</v>
      </c>
      <c r="C114" s="53">
        <v>247</v>
      </c>
      <c r="D114" s="12">
        <f t="shared" si="35"/>
        <v>50003</v>
      </c>
      <c r="E114" s="54">
        <v>3</v>
      </c>
      <c r="F114" s="55" t="s">
        <v>56</v>
      </c>
      <c r="G114" s="52" t="s">
        <v>170</v>
      </c>
      <c r="H114" s="55" t="s">
        <v>17</v>
      </c>
      <c r="I114" s="55"/>
      <c r="J114" s="55"/>
      <c r="K114" s="55"/>
      <c r="L114" s="52">
        <v>7500</v>
      </c>
      <c r="M114" s="52">
        <v>7600</v>
      </c>
      <c r="N114" s="53">
        <f t="shared" si="41"/>
        <v>100</v>
      </c>
      <c r="O114" s="29">
        <f t="shared" si="36"/>
        <v>100</v>
      </c>
      <c r="P114" s="64" t="s">
        <v>314</v>
      </c>
      <c r="Q114" s="56"/>
      <c r="R114" s="117">
        <v>0</v>
      </c>
      <c r="S114" s="106">
        <v>0</v>
      </c>
      <c r="T114" s="55">
        <v>0</v>
      </c>
      <c r="U114" s="64" t="s">
        <v>18</v>
      </c>
      <c r="V114" s="56"/>
      <c r="W114" s="117">
        <v>0</v>
      </c>
      <c r="X114" s="117">
        <v>0</v>
      </c>
      <c r="Y114" s="55">
        <f t="shared" si="38"/>
        <v>0</v>
      </c>
      <c r="Z114" s="55">
        <v>0</v>
      </c>
      <c r="AA114" s="55">
        <v>0</v>
      </c>
      <c r="AB114" s="55" t="s">
        <v>12</v>
      </c>
      <c r="AC114" s="57">
        <v>0</v>
      </c>
      <c r="AD114" s="57">
        <v>0</v>
      </c>
      <c r="AE114" s="57">
        <v>0</v>
      </c>
      <c r="AF114" s="57">
        <v>9999</v>
      </c>
      <c r="AG114" s="52">
        <v>3</v>
      </c>
      <c r="AH114" s="57">
        <v>6</v>
      </c>
      <c r="AI114" s="57">
        <v>0</v>
      </c>
      <c r="AJ114" s="57">
        <v>0</v>
      </c>
      <c r="AK114" s="57">
        <v>0</v>
      </c>
      <c r="AL114" s="52">
        <v>110</v>
      </c>
      <c r="AM114" s="57">
        <v>15</v>
      </c>
      <c r="AN114" s="57">
        <v>0</v>
      </c>
      <c r="AO114" s="57">
        <v>0</v>
      </c>
      <c r="AP114" s="57">
        <v>0</v>
      </c>
      <c r="AQ114" s="57">
        <v>0</v>
      </c>
      <c r="AR114" s="57">
        <v>0</v>
      </c>
      <c r="AS114" s="57">
        <v>0</v>
      </c>
      <c r="AT114" s="57">
        <v>0</v>
      </c>
      <c r="AU114" s="57">
        <v>0</v>
      </c>
      <c r="AV114" s="57">
        <v>0</v>
      </c>
      <c r="AW114" s="57">
        <v>4</v>
      </c>
      <c r="AX114" s="57">
        <v>1</v>
      </c>
      <c r="AY114" s="57">
        <v>1</v>
      </c>
      <c r="AZ114" s="57">
        <v>8</v>
      </c>
      <c r="BA114" s="53">
        <v>1</v>
      </c>
      <c r="BB114" s="57">
        <v>0</v>
      </c>
      <c r="BC114" s="57">
        <v>0</v>
      </c>
      <c r="BD114" s="57">
        <v>0.9</v>
      </c>
      <c r="BE114" s="57">
        <f t="shared" si="42"/>
        <v>50</v>
      </c>
      <c r="BF114" s="58">
        <v>0</v>
      </c>
      <c r="BG114" s="57">
        <v>0</v>
      </c>
      <c r="BH114" s="57">
        <v>400</v>
      </c>
      <c r="BI114" s="52">
        <v>25</v>
      </c>
      <c r="BJ114" s="52">
        <v>3</v>
      </c>
      <c r="BK114" s="52" t="s">
        <v>9</v>
      </c>
      <c r="BL114" s="65"/>
      <c r="BM114" s="52">
        <v>1</v>
      </c>
      <c r="BN114" s="52"/>
      <c r="BO114" s="52"/>
      <c r="BP114" s="52"/>
      <c r="BQ114" s="55"/>
      <c r="BR114" s="52"/>
      <c r="BS114" s="52"/>
      <c r="BT114" s="55"/>
      <c r="BU114" s="55"/>
      <c r="BV114" s="55"/>
      <c r="BW114" s="64" t="s">
        <v>228</v>
      </c>
      <c r="BX114" s="60" t="s">
        <v>225</v>
      </c>
      <c r="BY114" s="56">
        <v>2</v>
      </c>
      <c r="BZ114" s="62" t="s">
        <v>253</v>
      </c>
    </row>
    <row r="115" spans="1:78" s="30" customFormat="1" ht="26.25" thickBot="1" x14ac:dyDescent="0.25">
      <c r="A115" s="14">
        <v>51</v>
      </c>
      <c r="B115" s="29" t="str">
        <f t="shared" si="34"/>
        <v>EMITTER_51</v>
      </c>
      <c r="C115" s="29">
        <v>248</v>
      </c>
      <c r="D115" s="12">
        <f t="shared" si="35"/>
        <v>51001</v>
      </c>
      <c r="E115" s="12">
        <v>1</v>
      </c>
      <c r="F115" s="13" t="s">
        <v>82</v>
      </c>
      <c r="G115" s="29" t="str">
        <f>"Z0"&amp;TEXT(A115,"0")&amp;"Z"</f>
        <v>Z051Z</v>
      </c>
      <c r="H115" s="13" t="s">
        <v>5</v>
      </c>
      <c r="I115" s="13"/>
      <c r="J115" s="13"/>
      <c r="K115" s="13"/>
      <c r="L115" s="14">
        <v>990</v>
      </c>
      <c r="M115" s="14">
        <v>1090</v>
      </c>
      <c r="N115" s="29">
        <f t="shared" si="41"/>
        <v>100</v>
      </c>
      <c r="O115" s="29">
        <f t="shared" si="36"/>
        <v>100</v>
      </c>
      <c r="P115" s="15" t="s">
        <v>6</v>
      </c>
      <c r="Q115" s="15"/>
      <c r="R115" s="113">
        <v>4000</v>
      </c>
      <c r="S115" s="101">
        <v>4050</v>
      </c>
      <c r="T115" s="13">
        <f>S115-R115</f>
        <v>50</v>
      </c>
      <c r="U115" s="15" t="s">
        <v>6</v>
      </c>
      <c r="V115" s="15"/>
      <c r="W115" s="113">
        <v>3</v>
      </c>
      <c r="X115" s="113">
        <v>3</v>
      </c>
      <c r="Y115" s="13">
        <f t="shared" si="38"/>
        <v>0</v>
      </c>
      <c r="Z115" s="13">
        <v>3</v>
      </c>
      <c r="AA115" s="13">
        <v>3</v>
      </c>
      <c r="AB115" s="51" t="s">
        <v>320</v>
      </c>
      <c r="AC115" s="23">
        <v>100</v>
      </c>
      <c r="AD115" s="23">
        <v>0</v>
      </c>
      <c r="AE115" s="23">
        <v>0</v>
      </c>
      <c r="AF115" s="23">
        <v>0</v>
      </c>
      <c r="AG115" s="14">
        <v>3</v>
      </c>
      <c r="AH115" s="23">
        <v>3</v>
      </c>
      <c r="AI115" s="23">
        <v>0</v>
      </c>
      <c r="AJ115" s="23">
        <v>0</v>
      </c>
      <c r="AK115" s="23">
        <v>0</v>
      </c>
      <c r="AL115" s="14">
        <v>100</v>
      </c>
      <c r="AM115" s="23">
        <v>15</v>
      </c>
      <c r="AN115" s="23">
        <v>0</v>
      </c>
      <c r="AO115" s="23">
        <v>0</v>
      </c>
      <c r="AP115" s="23">
        <v>0</v>
      </c>
      <c r="AQ115" s="23">
        <v>0</v>
      </c>
      <c r="AR115" s="23">
        <v>0</v>
      </c>
      <c r="AS115" s="23">
        <v>0</v>
      </c>
      <c r="AT115" s="23">
        <v>0</v>
      </c>
      <c r="AU115" s="23">
        <v>0</v>
      </c>
      <c r="AV115" s="23">
        <v>0</v>
      </c>
      <c r="AW115" s="23">
        <v>4</v>
      </c>
      <c r="AX115" s="23">
        <v>1</v>
      </c>
      <c r="AY115" s="23">
        <v>1</v>
      </c>
      <c r="AZ115" s="79">
        <v>8</v>
      </c>
      <c r="BA115" s="29">
        <v>1</v>
      </c>
      <c r="BB115" s="23">
        <v>0</v>
      </c>
      <c r="BC115" s="23">
        <v>0</v>
      </c>
      <c r="BD115" s="23">
        <v>0.9</v>
      </c>
      <c r="BE115" s="23">
        <f t="shared" si="42"/>
        <v>22</v>
      </c>
      <c r="BF115" s="23">
        <v>0</v>
      </c>
      <c r="BG115" s="23">
        <v>0</v>
      </c>
      <c r="BH115" s="23">
        <v>0</v>
      </c>
      <c r="BI115" s="14">
        <v>11</v>
      </c>
      <c r="BJ115" s="14">
        <v>5</v>
      </c>
      <c r="BK115" s="14" t="s">
        <v>9</v>
      </c>
      <c r="BL115" s="23"/>
      <c r="BM115" s="14">
        <v>1</v>
      </c>
      <c r="BN115" s="14"/>
      <c r="BO115" s="14"/>
      <c r="BP115" s="14"/>
      <c r="BQ115" s="13"/>
      <c r="BR115" s="14"/>
      <c r="BS115" s="14"/>
      <c r="BT115" s="13"/>
      <c r="BU115" s="13"/>
      <c r="BV115" s="13"/>
      <c r="BW115" s="15" t="s">
        <v>219</v>
      </c>
      <c r="BX115" s="43" t="s">
        <v>225</v>
      </c>
      <c r="BY115" s="15">
        <v>4</v>
      </c>
      <c r="BZ115" s="51" t="s">
        <v>254</v>
      </c>
    </row>
    <row r="116" spans="1:78" s="75" customFormat="1" ht="39" thickBot="1" x14ac:dyDescent="0.25">
      <c r="A116" s="52">
        <v>52</v>
      </c>
      <c r="B116" s="53" t="str">
        <f t="shared" si="34"/>
        <v>EMITTER_52</v>
      </c>
      <c r="C116" s="53">
        <v>249</v>
      </c>
      <c r="D116" s="12">
        <f t="shared" si="35"/>
        <v>52001</v>
      </c>
      <c r="E116" s="54">
        <v>1</v>
      </c>
      <c r="F116" s="55" t="s">
        <v>72</v>
      </c>
      <c r="G116" s="53" t="str">
        <f>"Z0"&amp;TEXT(A116,"0")&amp;"Z"</f>
        <v>Z052Z</v>
      </c>
      <c r="H116" s="66" t="s">
        <v>5</v>
      </c>
      <c r="I116" s="66"/>
      <c r="J116" s="66"/>
      <c r="K116" s="66"/>
      <c r="L116" s="69">
        <v>29100</v>
      </c>
      <c r="M116" s="69">
        <v>29300</v>
      </c>
      <c r="N116" s="53">
        <f t="shared" si="41"/>
        <v>200</v>
      </c>
      <c r="O116" s="29">
        <f t="shared" si="36"/>
        <v>200</v>
      </c>
      <c r="P116" s="56" t="s">
        <v>6</v>
      </c>
      <c r="Q116" s="56"/>
      <c r="R116" s="114">
        <v>100</v>
      </c>
      <c r="S116" s="102">
        <v>500</v>
      </c>
      <c r="T116" s="55">
        <f>S116-R116</f>
        <v>400</v>
      </c>
      <c r="U116" s="62" t="s">
        <v>31</v>
      </c>
      <c r="V116" s="56" t="s">
        <v>151</v>
      </c>
      <c r="W116" s="114">
        <v>2</v>
      </c>
      <c r="X116" s="114">
        <v>3</v>
      </c>
      <c r="Y116" s="55">
        <f t="shared" si="38"/>
        <v>1</v>
      </c>
      <c r="Z116" s="55">
        <v>4</v>
      </c>
      <c r="AA116" s="55">
        <v>4</v>
      </c>
      <c r="AB116" s="66" t="s">
        <v>12</v>
      </c>
      <c r="AC116" s="58">
        <v>0</v>
      </c>
      <c r="AD116" s="58">
        <v>0</v>
      </c>
      <c r="AE116" s="57">
        <v>0</v>
      </c>
      <c r="AF116" s="57">
        <v>0</v>
      </c>
      <c r="AG116" s="52">
        <v>2</v>
      </c>
      <c r="AH116" s="57">
        <v>5</v>
      </c>
      <c r="AI116" s="57">
        <v>0</v>
      </c>
      <c r="AJ116" s="57">
        <v>0</v>
      </c>
      <c r="AK116" s="57">
        <v>0</v>
      </c>
      <c r="AL116" s="52">
        <v>90</v>
      </c>
      <c r="AM116" s="57">
        <v>25</v>
      </c>
      <c r="AN116" s="57">
        <v>0</v>
      </c>
      <c r="AO116" s="57">
        <v>0</v>
      </c>
      <c r="AP116" s="57">
        <v>0</v>
      </c>
      <c r="AQ116" s="57">
        <v>0</v>
      </c>
      <c r="AR116" s="57">
        <v>0</v>
      </c>
      <c r="AS116" s="57">
        <v>0</v>
      </c>
      <c r="AT116" s="57">
        <v>0</v>
      </c>
      <c r="AU116" s="57">
        <v>0</v>
      </c>
      <c r="AV116" s="57">
        <v>0</v>
      </c>
      <c r="AW116" s="57">
        <v>1</v>
      </c>
      <c r="AX116" s="57">
        <v>1</v>
      </c>
      <c r="AY116" s="58">
        <v>0</v>
      </c>
      <c r="AZ116" s="58">
        <v>8</v>
      </c>
      <c r="BA116" s="76">
        <v>0</v>
      </c>
      <c r="BB116" s="57">
        <v>0</v>
      </c>
      <c r="BC116" s="57">
        <v>0</v>
      </c>
      <c r="BD116" s="57">
        <v>0.9</v>
      </c>
      <c r="BE116" s="57">
        <f t="shared" si="42"/>
        <v>20</v>
      </c>
      <c r="BF116" s="57">
        <v>0</v>
      </c>
      <c r="BG116" s="57">
        <v>0</v>
      </c>
      <c r="BH116" s="57">
        <v>0</v>
      </c>
      <c r="BI116" s="52">
        <v>10</v>
      </c>
      <c r="BJ116" s="52">
        <v>4</v>
      </c>
      <c r="BK116" s="52" t="s">
        <v>9</v>
      </c>
      <c r="BL116" s="65"/>
      <c r="BM116" s="52"/>
      <c r="BN116" s="52"/>
      <c r="BO116" s="52">
        <v>1</v>
      </c>
      <c r="BP116" s="52"/>
      <c r="BQ116" s="55"/>
      <c r="BR116" s="52">
        <v>1</v>
      </c>
      <c r="BS116" s="52"/>
      <c r="BT116" s="55"/>
      <c r="BU116" s="57"/>
      <c r="BV116" s="57"/>
      <c r="BW116" s="64" t="s">
        <v>245</v>
      </c>
      <c r="BX116" s="60" t="s">
        <v>225</v>
      </c>
      <c r="BY116" s="56">
        <v>4</v>
      </c>
      <c r="BZ116" s="62" t="s">
        <v>254</v>
      </c>
    </row>
    <row r="118" spans="1:78" x14ac:dyDescent="0.2">
      <c r="C118" s="28"/>
    </row>
    <row r="119" spans="1:78" x14ac:dyDescent="0.2">
      <c r="C119" s="34"/>
    </row>
  </sheetData>
  <autoFilter ref="A1:BK116" xr:uid="{00000000-0009-0000-0000-000000000000}">
    <sortState xmlns:xlrd2="http://schemas.microsoft.com/office/spreadsheetml/2017/richdata2" ref="A2:BK116">
      <sortCondition ref="A1:A116"/>
    </sortState>
  </autoFilter>
  <phoneticPr fontId="0" type="noConversion"/>
  <printOptions gridLines="1"/>
  <pageMargins left="0.74803149606299213" right="0.74803149606299213" top="0.98425196850393704" bottom="0.98425196850393704" header="0.51181102362204722" footer="0.51181102362204722"/>
  <pageSetup paperSize="3" scale="70" fitToWidth="2" fitToHeight="11" orientation="landscape" r:id="rId1"/>
  <headerFooter alignWithMargins="0">
    <oddHeader>&amp;C&amp;16 MHP Emitter List for Pax River (Unclassified)</oddHeader>
    <oddFooter>&amp;L&amp;D&amp;CMHP Emitter List for Pax River
 (Unclassified - Emitter Description/Parametrics are not representative of threat characterisitcs and/or system operation)&amp;RPage &amp;P of &amp;N</oddFooter>
  </headerFooter>
  <colBreaks count="1" manualBreakCount="1">
    <brk id="25"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68"/>
  <sheetViews>
    <sheetView workbookViewId="0">
      <selection activeCell="E30" sqref="E30"/>
    </sheetView>
  </sheetViews>
  <sheetFormatPr defaultRowHeight="12.75" x14ac:dyDescent="0.2"/>
  <cols>
    <col min="1" max="1" width="11.42578125" bestFit="1" customWidth="1"/>
    <col min="2" max="2" width="17.28515625" bestFit="1" customWidth="1"/>
    <col min="3" max="4" width="16.42578125" bestFit="1" customWidth="1"/>
    <col min="5" max="5" width="17.28515625" bestFit="1" customWidth="1"/>
  </cols>
  <sheetData>
    <row r="1" spans="1:4" x14ac:dyDescent="0.2">
      <c r="A1" s="1" t="str">
        <f>'MHP Emulator Emitter List'!B1</f>
        <v>EMITTER_NAME</v>
      </c>
      <c r="B1" s="1" t="s">
        <v>15</v>
      </c>
      <c r="C1" s="1" t="s">
        <v>29</v>
      </c>
      <c r="D1" s="1" t="s">
        <v>30</v>
      </c>
    </row>
    <row r="2" spans="1:4" x14ac:dyDescent="0.2">
      <c r="A2" s="1" t="str">
        <f>'MHP Emulator Emitter List'!B2</f>
        <v>EMITTER_01</v>
      </c>
      <c r="B2">
        <f>'MHP Emulator Emitter List'!M2-'MHP Emulator Emitter List'!L2</f>
        <v>100</v>
      </c>
      <c r="C2">
        <f>'MHP Emulator Emitter List'!S2-'MHP Emulator Emitter List'!R2</f>
        <v>0</v>
      </c>
      <c r="D2">
        <f>'MHP Emulator Emitter List'!X2-'MHP Emulator Emitter List'!W2</f>
        <v>0</v>
      </c>
    </row>
    <row r="3" spans="1:4" x14ac:dyDescent="0.2">
      <c r="A3" s="1" t="str">
        <f>'MHP Emulator Emitter List'!B5</f>
        <v>EMITTER_02</v>
      </c>
      <c r="B3">
        <f>'MHP Emulator Emitter List'!M5-'MHP Emulator Emitter List'!L5</f>
        <v>100</v>
      </c>
      <c r="C3">
        <f>'MHP Emulator Emitter List'!S5-'MHP Emulator Emitter List'!R5</f>
        <v>20</v>
      </c>
      <c r="D3">
        <f>'MHP Emulator Emitter List'!X5-'MHP Emulator Emitter List'!W5</f>
        <v>1</v>
      </c>
    </row>
    <row r="4" spans="1:4" x14ac:dyDescent="0.2">
      <c r="A4" s="1" t="str">
        <f>'MHP Emulator Emitter List'!B7</f>
        <v>EMITTER_03</v>
      </c>
      <c r="B4">
        <f>'MHP Emulator Emitter List'!M7-'MHP Emulator Emitter List'!L7</f>
        <v>50</v>
      </c>
      <c r="C4">
        <f>'MHP Emulator Emitter List'!S7-'MHP Emulator Emitter List'!R7</f>
        <v>30</v>
      </c>
      <c r="D4">
        <f>'MHP Emulator Emitter List'!X7-'MHP Emulator Emitter List'!W7</f>
        <v>1</v>
      </c>
    </row>
    <row r="5" spans="1:4" x14ac:dyDescent="0.2">
      <c r="A5" s="1" t="str">
        <f>'MHP Emulator Emitter List'!B8</f>
        <v>EMITTER_03</v>
      </c>
      <c r="B5">
        <f>'MHP Emulator Emitter List'!M8-'MHP Emulator Emitter List'!L8</f>
        <v>50</v>
      </c>
      <c r="C5">
        <f>'MHP Emulator Emitter List'!S8-'MHP Emulator Emitter List'!R8</f>
        <v>63</v>
      </c>
      <c r="D5">
        <f>'MHP Emulator Emitter List'!X8-'MHP Emulator Emitter List'!W8</f>
        <v>4</v>
      </c>
    </row>
    <row r="6" spans="1:4" x14ac:dyDescent="0.2">
      <c r="A6" s="1" t="str">
        <f>'MHP Emulator Emitter List'!B9</f>
        <v>EMITTER_04</v>
      </c>
      <c r="B6">
        <f>'MHP Emulator Emitter List'!M9-'MHP Emulator Emitter List'!L9</f>
        <v>50</v>
      </c>
      <c r="C6">
        <f>'MHP Emulator Emitter List'!S9-'MHP Emulator Emitter List'!R9</f>
        <v>400</v>
      </c>
      <c r="D6">
        <f>'MHP Emulator Emitter List'!X9-'MHP Emulator Emitter List'!W9</f>
        <v>2</v>
      </c>
    </row>
    <row r="7" spans="1:4" x14ac:dyDescent="0.2">
      <c r="A7" s="1" t="str">
        <f>'MHP Emulator Emitter List'!B14</f>
        <v>EMITTER_07</v>
      </c>
      <c r="B7">
        <f>'MHP Emulator Emitter List'!M14-'MHP Emulator Emitter List'!L14</f>
        <v>50</v>
      </c>
      <c r="C7">
        <f>'MHP Emulator Emitter List'!S14-'MHP Emulator Emitter List'!R14</f>
        <v>0</v>
      </c>
      <c r="D7">
        <f>'MHP Emulator Emitter List'!X14-'MHP Emulator Emitter List'!W14</f>
        <v>0</v>
      </c>
    </row>
    <row r="8" spans="1:4" x14ac:dyDescent="0.2">
      <c r="A8" s="1" t="str">
        <f>'MHP Emulator Emitter List'!B15</f>
        <v>EMITTER_08</v>
      </c>
      <c r="B8">
        <f>'MHP Emulator Emitter List'!M15-'MHP Emulator Emitter List'!L15</f>
        <v>200</v>
      </c>
      <c r="C8">
        <f>'MHP Emulator Emitter List'!S15-'MHP Emulator Emitter List'!R15</f>
        <v>60</v>
      </c>
      <c r="D8">
        <f>'MHP Emulator Emitter List'!X15-'MHP Emulator Emitter List'!W15</f>
        <v>3</v>
      </c>
    </row>
    <row r="9" spans="1:4" x14ac:dyDescent="0.2">
      <c r="A9" s="1" t="str">
        <f>'MHP Emulator Emitter List'!B17</f>
        <v>EMITTER_08</v>
      </c>
      <c r="B9">
        <f>'MHP Emulator Emitter List'!M17-'MHP Emulator Emitter List'!L17</f>
        <v>90</v>
      </c>
      <c r="C9">
        <f>'MHP Emulator Emitter List'!S17-'MHP Emulator Emitter List'!R17</f>
        <v>60</v>
      </c>
      <c r="D9">
        <f>'MHP Emulator Emitter List'!X17-'MHP Emulator Emitter List'!W17</f>
        <v>3</v>
      </c>
    </row>
    <row r="10" spans="1:4" x14ac:dyDescent="0.2">
      <c r="A10" s="1" t="str">
        <f>'MHP Emulator Emitter List'!B19</f>
        <v>EMITTER_09</v>
      </c>
      <c r="B10">
        <f>'MHP Emulator Emitter List'!M19-'MHP Emulator Emitter List'!L19</f>
        <v>500</v>
      </c>
      <c r="C10">
        <f>'MHP Emulator Emitter List'!S19-'MHP Emulator Emitter List'!R19</f>
        <v>11</v>
      </c>
      <c r="D10">
        <f>'MHP Emulator Emitter List'!X19-'MHP Emulator Emitter List'!W19</f>
        <v>4</v>
      </c>
    </row>
    <row r="11" spans="1:4" x14ac:dyDescent="0.2">
      <c r="A11" s="1" t="str">
        <f>'MHP Emulator Emitter List'!B20</f>
        <v>EMITTER_09</v>
      </c>
      <c r="B11">
        <f>'MHP Emulator Emitter List'!M20-'MHP Emulator Emitter List'!L20</f>
        <v>240</v>
      </c>
      <c r="C11">
        <f>'MHP Emulator Emitter List'!S20-'MHP Emulator Emitter List'!R20</f>
        <v>10</v>
      </c>
      <c r="D11">
        <f>'MHP Emulator Emitter List'!X20-'MHP Emulator Emitter List'!W20</f>
        <v>1</v>
      </c>
    </row>
    <row r="12" spans="1:4" x14ac:dyDescent="0.2">
      <c r="A12" s="1" t="str">
        <f>'MHP Emulator Emitter List'!B24</f>
        <v>EMITTER_11</v>
      </c>
      <c r="B12">
        <f>'MHP Emulator Emitter List'!M24-'MHP Emulator Emitter List'!L24</f>
        <v>200</v>
      </c>
      <c r="C12">
        <f>'MHP Emulator Emitter List'!S24-'MHP Emulator Emitter List'!R24</f>
        <v>100</v>
      </c>
      <c r="D12">
        <f>'MHP Emulator Emitter List'!X24-'MHP Emulator Emitter List'!W24</f>
        <v>0.10000000000000009</v>
      </c>
    </row>
    <row r="13" spans="1:4" x14ac:dyDescent="0.2">
      <c r="A13" s="1" t="str">
        <f>'MHP Emulator Emitter List'!B26</f>
        <v>EMITTER_12</v>
      </c>
      <c r="B13">
        <f>'MHP Emulator Emitter List'!M26-'MHP Emulator Emitter List'!L26</f>
        <v>80</v>
      </c>
      <c r="C13">
        <f>'MHP Emulator Emitter List'!S26-'MHP Emulator Emitter List'!R26</f>
        <v>20</v>
      </c>
      <c r="D13">
        <f>'MHP Emulator Emitter List'!X26-'MHP Emulator Emitter List'!W26</f>
        <v>1</v>
      </c>
    </row>
    <row r="14" spans="1:4" x14ac:dyDescent="0.2">
      <c r="A14" s="1" t="str">
        <f>'MHP Emulator Emitter List'!B27</f>
        <v>EMITTER_12</v>
      </c>
      <c r="B14">
        <f>'MHP Emulator Emitter List'!M27-'MHP Emulator Emitter List'!L27</f>
        <v>10</v>
      </c>
      <c r="C14">
        <f>'MHP Emulator Emitter List'!S27-'MHP Emulator Emitter List'!R27</f>
        <v>30</v>
      </c>
      <c r="D14">
        <f>'MHP Emulator Emitter List'!X27-'MHP Emulator Emitter List'!W27</f>
        <v>0.5</v>
      </c>
    </row>
    <row r="15" spans="1:4" x14ac:dyDescent="0.2">
      <c r="A15" s="1" t="str">
        <f>'MHP Emulator Emitter List'!B28</f>
        <v>EMITTER_12</v>
      </c>
      <c r="B15">
        <f>'MHP Emulator Emitter List'!M28-'MHP Emulator Emitter List'!L28</f>
        <v>230</v>
      </c>
      <c r="C15">
        <f>'MHP Emulator Emitter List'!S28-'MHP Emulator Emitter List'!R28</f>
        <v>250</v>
      </c>
      <c r="D15">
        <f>'MHP Emulator Emitter List'!X28-'MHP Emulator Emitter List'!W28</f>
        <v>3</v>
      </c>
    </row>
    <row r="16" spans="1:4" x14ac:dyDescent="0.2">
      <c r="A16" s="1" t="str">
        <f>'MHP Emulator Emitter List'!B29</f>
        <v>EMITTER_13</v>
      </c>
      <c r="B16">
        <f>'MHP Emulator Emitter List'!M29-'MHP Emulator Emitter List'!L29</f>
        <v>50</v>
      </c>
      <c r="C16">
        <f>'MHP Emulator Emitter List'!S29-'MHP Emulator Emitter List'!R29</f>
        <v>734</v>
      </c>
      <c r="D16">
        <f>'MHP Emulator Emitter List'!X29-'MHP Emulator Emitter List'!W29</f>
        <v>2</v>
      </c>
    </row>
    <row r="17" spans="1:4" x14ac:dyDescent="0.2">
      <c r="A17" s="1" t="str">
        <f>'MHP Emulator Emitter List'!B30</f>
        <v>EMITTER_13</v>
      </c>
      <c r="B17">
        <f>'MHP Emulator Emitter List'!M30-'MHP Emulator Emitter List'!L30</f>
        <v>50</v>
      </c>
      <c r="C17">
        <f>'MHP Emulator Emitter List'!S30-'MHP Emulator Emitter List'!R30</f>
        <v>980</v>
      </c>
      <c r="D17">
        <f>'MHP Emulator Emitter List'!X30-'MHP Emulator Emitter List'!W30</f>
        <v>2</v>
      </c>
    </row>
    <row r="18" spans="1:4" x14ac:dyDescent="0.2">
      <c r="A18" s="1" t="str">
        <f>'MHP Emulator Emitter List'!B31</f>
        <v>EMITTER_13</v>
      </c>
      <c r="B18">
        <f>'MHP Emulator Emitter List'!M31-'MHP Emulator Emitter List'!L31</f>
        <v>150</v>
      </c>
      <c r="C18">
        <f>'MHP Emulator Emitter List'!S31-'MHP Emulator Emitter List'!R31</f>
        <v>588</v>
      </c>
      <c r="D18">
        <f>'MHP Emulator Emitter List'!X31-'MHP Emulator Emitter List'!W31</f>
        <v>0.60000000000000009</v>
      </c>
    </row>
    <row r="19" spans="1:4" x14ac:dyDescent="0.2">
      <c r="A19" s="1" t="str">
        <f>'MHP Emulator Emitter List'!B32</f>
        <v>EMITTER_14</v>
      </c>
      <c r="B19">
        <f>'MHP Emulator Emitter List'!M32-'MHP Emulator Emitter List'!L32</f>
        <v>50</v>
      </c>
      <c r="C19">
        <f>'MHP Emulator Emitter List'!S32-'MHP Emulator Emitter List'!R32</f>
        <v>30</v>
      </c>
      <c r="D19">
        <f>'MHP Emulator Emitter List'!X32-'MHP Emulator Emitter List'!W32</f>
        <v>2</v>
      </c>
    </row>
    <row r="20" spans="1:4" x14ac:dyDescent="0.2">
      <c r="A20" s="1" t="e">
        <f>'MHP Emulator Emitter List'!#REF!</f>
        <v>#REF!</v>
      </c>
      <c r="B20" t="e">
        <f>'MHP Emulator Emitter List'!#REF!-'MHP Emulator Emitter List'!#REF!</f>
        <v>#REF!</v>
      </c>
      <c r="C20" t="e">
        <f>'MHP Emulator Emitter List'!#REF!-'MHP Emulator Emitter List'!#REF!</f>
        <v>#REF!</v>
      </c>
      <c r="D20" t="e">
        <f>'MHP Emulator Emitter List'!#REF!-'MHP Emulator Emitter List'!#REF!</f>
        <v>#REF!</v>
      </c>
    </row>
    <row r="21" spans="1:4" x14ac:dyDescent="0.2">
      <c r="A21" s="1" t="str">
        <f>'MHP Emulator Emitter List'!B37</f>
        <v>EMITTER_16</v>
      </c>
      <c r="B21">
        <f>'MHP Emulator Emitter List'!M37-'MHP Emulator Emitter List'!L37</f>
        <v>200</v>
      </c>
      <c r="C21">
        <f>'MHP Emulator Emitter List'!S37-'MHP Emulator Emitter List'!R37</f>
        <v>400</v>
      </c>
      <c r="D21">
        <f>'MHP Emulator Emitter List'!X37-'MHP Emulator Emitter List'!W37</f>
        <v>1</v>
      </c>
    </row>
    <row r="22" spans="1:4" x14ac:dyDescent="0.2">
      <c r="A22" s="1" t="str">
        <f>'MHP Emulator Emitter List'!B41</f>
        <v>EMITTER_17</v>
      </c>
      <c r="B22">
        <f>'MHP Emulator Emitter List'!M41-'MHP Emulator Emitter List'!L41</f>
        <v>200</v>
      </c>
      <c r="C22">
        <f>'MHP Emulator Emitter List'!S41-'MHP Emulator Emitter List'!R41</f>
        <v>37</v>
      </c>
      <c r="D22">
        <f>'MHP Emulator Emitter List'!X41-'MHP Emulator Emitter List'!W41</f>
        <v>1</v>
      </c>
    </row>
    <row r="23" spans="1:4" x14ac:dyDescent="0.2">
      <c r="A23" s="1" t="str">
        <f>'MHP Emulator Emitter List'!B42</f>
        <v>EMITTER_18</v>
      </c>
      <c r="B23">
        <f>'MHP Emulator Emitter List'!M42-'MHP Emulator Emitter List'!L42</f>
        <v>500</v>
      </c>
      <c r="C23">
        <f>'MHP Emulator Emitter List'!S42-'MHP Emulator Emitter List'!R42</f>
        <v>600</v>
      </c>
      <c r="D23">
        <f>'MHP Emulator Emitter List'!X42-'MHP Emulator Emitter List'!W42</f>
        <v>10</v>
      </c>
    </row>
    <row r="24" spans="1:4" x14ac:dyDescent="0.2">
      <c r="A24" s="3"/>
      <c r="B24" s="4"/>
      <c r="C24" s="4"/>
      <c r="D24" s="4"/>
    </row>
    <row r="25" spans="1:4" x14ac:dyDescent="0.2">
      <c r="A25" s="3"/>
      <c r="B25" s="4"/>
      <c r="C25" s="4"/>
      <c r="D25" s="4"/>
    </row>
    <row r="26" spans="1:4" x14ac:dyDescent="0.2">
      <c r="A26" s="1" t="str">
        <f>'MHP Emulator Emitter List'!B44</f>
        <v>EMITTER_18</v>
      </c>
      <c r="B26">
        <f>'MHP Emulator Emitter List'!M44-'MHP Emulator Emitter List'!L44</f>
        <v>500</v>
      </c>
      <c r="C26">
        <f>'MHP Emulator Emitter List'!S44-'MHP Emulator Emitter List'!R44</f>
        <v>0.5</v>
      </c>
      <c r="D26">
        <f>'MHP Emulator Emitter List'!X44-'MHP Emulator Emitter List'!W44</f>
        <v>0.19999999999999996</v>
      </c>
    </row>
    <row r="27" spans="1:4" x14ac:dyDescent="0.2">
      <c r="A27" s="1" t="str">
        <f>'MHP Emulator Emitter List'!B45</f>
        <v>EMITTER_19</v>
      </c>
      <c r="B27">
        <f>'MHP Emulator Emitter List'!M45-'MHP Emulator Emitter List'!L45</f>
        <v>50</v>
      </c>
      <c r="C27">
        <f>'MHP Emulator Emitter List'!S45-'MHP Emulator Emitter List'!R45</f>
        <v>525</v>
      </c>
      <c r="D27">
        <f>'MHP Emulator Emitter List'!X45-'MHP Emulator Emitter List'!W45</f>
        <v>2</v>
      </c>
    </row>
    <row r="28" spans="1:4" x14ac:dyDescent="0.2">
      <c r="A28" s="1" t="str">
        <f>'MHP Emulator Emitter List'!B46</f>
        <v>EMITTER_19</v>
      </c>
      <c r="B28">
        <f>'MHP Emulator Emitter List'!M46-'MHP Emulator Emitter List'!L46</f>
        <v>30</v>
      </c>
      <c r="C28">
        <f>'MHP Emulator Emitter List'!S46-'MHP Emulator Emitter List'!R46</f>
        <v>525</v>
      </c>
      <c r="D28">
        <f>'MHP Emulator Emitter List'!X46-'MHP Emulator Emitter List'!W46</f>
        <v>2</v>
      </c>
    </row>
    <row r="29" spans="1:4" x14ac:dyDescent="0.2">
      <c r="A29" s="1" t="str">
        <f>'MHP Emulator Emitter List'!B47</f>
        <v>EMITTER_20</v>
      </c>
      <c r="B29">
        <f>'MHP Emulator Emitter List'!M47-'MHP Emulator Emitter List'!L47</f>
        <v>167</v>
      </c>
      <c r="C29">
        <f>'MHP Emulator Emitter List'!S47-'MHP Emulator Emitter List'!R47</f>
        <v>50</v>
      </c>
      <c r="D29">
        <f>'MHP Emulator Emitter List'!X47-'MHP Emulator Emitter List'!W47</f>
        <v>9.9999999999999645E-2</v>
      </c>
    </row>
    <row r="30" spans="1:4" x14ac:dyDescent="0.2">
      <c r="A30" s="1" t="str">
        <f>'MHP Emulator Emitter List'!B48</f>
        <v>EMITTER_21</v>
      </c>
      <c r="B30">
        <f>'MHP Emulator Emitter List'!M48-'MHP Emulator Emitter List'!L48</f>
        <v>200</v>
      </c>
      <c r="C30">
        <f>'MHP Emulator Emitter List'!S48-'MHP Emulator Emitter List'!R48</f>
        <v>55</v>
      </c>
      <c r="D30">
        <f>'MHP Emulator Emitter List'!X48-'MHP Emulator Emitter List'!W48</f>
        <v>0.10000000000000009</v>
      </c>
    </row>
    <row r="31" spans="1:4" x14ac:dyDescent="0.2">
      <c r="A31" s="1" t="str">
        <f>'MHP Emulator Emitter List'!B49</f>
        <v>EMITTER_21</v>
      </c>
      <c r="B31">
        <f>'MHP Emulator Emitter List'!M49-'MHP Emulator Emitter List'!L49</f>
        <v>200</v>
      </c>
      <c r="C31">
        <f>'MHP Emulator Emitter List'!S49-'MHP Emulator Emitter List'!R49</f>
        <v>29</v>
      </c>
      <c r="D31">
        <f>'MHP Emulator Emitter List'!X49-'MHP Emulator Emitter List'!W49</f>
        <v>1</v>
      </c>
    </row>
    <row r="32" spans="1:4" x14ac:dyDescent="0.2">
      <c r="A32" s="1" t="str">
        <f>'MHP Emulator Emitter List'!B50</f>
        <v>EMITTER_22</v>
      </c>
      <c r="B32">
        <f>'MHP Emulator Emitter List'!M50-'MHP Emulator Emitter List'!L50</f>
        <v>100</v>
      </c>
      <c r="C32">
        <f>'MHP Emulator Emitter List'!S50-'MHP Emulator Emitter List'!R50</f>
        <v>50</v>
      </c>
      <c r="D32">
        <f>'MHP Emulator Emitter List'!X50-'MHP Emulator Emitter List'!W50</f>
        <v>2</v>
      </c>
    </row>
    <row r="33" spans="1:4" x14ac:dyDescent="0.2">
      <c r="A33" s="1" t="str">
        <f>'MHP Emulator Emitter List'!B52</f>
        <v>EMITTER_22</v>
      </c>
      <c r="B33">
        <f>'MHP Emulator Emitter List'!M52-'MHP Emulator Emitter List'!L52</f>
        <v>100</v>
      </c>
      <c r="C33">
        <f>'MHP Emulator Emitter List'!S52-'MHP Emulator Emitter List'!R52</f>
        <v>15</v>
      </c>
      <c r="D33">
        <f>'MHP Emulator Emitter List'!X52-'MHP Emulator Emitter List'!W52</f>
        <v>12</v>
      </c>
    </row>
    <row r="34" spans="1:4" x14ac:dyDescent="0.2">
      <c r="A34" s="1" t="e">
        <f>'MHP Emulator Emitter List'!#REF!</f>
        <v>#REF!</v>
      </c>
      <c r="B34" t="e">
        <f>'MHP Emulator Emitter List'!#REF!-'MHP Emulator Emitter List'!#REF!</f>
        <v>#REF!</v>
      </c>
      <c r="C34" t="e">
        <f>'MHP Emulator Emitter List'!#REF!-'MHP Emulator Emitter List'!#REF!</f>
        <v>#REF!</v>
      </c>
      <c r="D34" t="e">
        <f>'MHP Emulator Emitter List'!#REF!-'MHP Emulator Emitter List'!#REF!</f>
        <v>#REF!</v>
      </c>
    </row>
    <row r="35" spans="1:4" x14ac:dyDescent="0.2">
      <c r="A35" s="1" t="str">
        <f>'MHP Emulator Emitter List'!B56</f>
        <v>EMITTER_25</v>
      </c>
      <c r="B35">
        <f>'MHP Emulator Emitter List'!M56-'MHP Emulator Emitter List'!L56</f>
        <v>2</v>
      </c>
      <c r="C35">
        <f>'MHP Emulator Emitter List'!S56-'MHP Emulator Emitter List'!R56</f>
        <v>0</v>
      </c>
      <c r="D35">
        <f>'MHP Emulator Emitter List'!X56-'MHP Emulator Emitter List'!W56</f>
        <v>1</v>
      </c>
    </row>
    <row r="36" spans="1:4" x14ac:dyDescent="0.2">
      <c r="A36" s="1" t="str">
        <f>'MHP Emulator Emitter List'!B57</f>
        <v>EMITTER_25</v>
      </c>
      <c r="B36">
        <f>'MHP Emulator Emitter List'!M57-'MHP Emulator Emitter List'!L57</f>
        <v>2</v>
      </c>
      <c r="C36">
        <f>'MHP Emulator Emitter List'!S57-'MHP Emulator Emitter List'!R57</f>
        <v>0</v>
      </c>
      <c r="D36">
        <f>'MHP Emulator Emitter List'!X57-'MHP Emulator Emitter List'!W57</f>
        <v>2</v>
      </c>
    </row>
    <row r="37" spans="1:4" x14ac:dyDescent="0.2">
      <c r="A37" s="1" t="str">
        <f>'MHP Emulator Emitter List'!B58</f>
        <v>EMITTER_25</v>
      </c>
      <c r="B37">
        <f>'MHP Emulator Emitter List'!M58-'MHP Emulator Emitter List'!L58</f>
        <v>2</v>
      </c>
      <c r="C37">
        <f>'MHP Emulator Emitter List'!S58-'MHP Emulator Emitter List'!R58</f>
        <v>0</v>
      </c>
      <c r="D37">
        <f>'MHP Emulator Emitter List'!X58-'MHP Emulator Emitter List'!W58</f>
        <v>2</v>
      </c>
    </row>
    <row r="38" spans="1:4" x14ac:dyDescent="0.2">
      <c r="A38" s="1" t="e">
        <f>'MHP Emulator Emitter List'!#REF!</f>
        <v>#REF!</v>
      </c>
      <c r="B38" t="e">
        <f>'MHP Emulator Emitter List'!#REF!-'MHP Emulator Emitter List'!#REF!</f>
        <v>#REF!</v>
      </c>
      <c r="C38" t="e">
        <f>'MHP Emulator Emitter List'!#REF!-'MHP Emulator Emitter List'!#REF!</f>
        <v>#REF!</v>
      </c>
      <c r="D38" t="e">
        <f>'MHP Emulator Emitter List'!#REF!-'MHP Emulator Emitter List'!#REF!</f>
        <v>#REF!</v>
      </c>
    </row>
    <row r="39" spans="1:4" x14ac:dyDescent="0.2">
      <c r="A39" s="1" t="str">
        <f>'MHP Emulator Emitter List'!B63</f>
        <v>EMITTER_27</v>
      </c>
      <c r="B39">
        <f>'MHP Emulator Emitter List'!M63-'MHP Emulator Emitter List'!L63</f>
        <v>0</v>
      </c>
      <c r="C39">
        <f>'MHP Emulator Emitter List'!S63-'MHP Emulator Emitter List'!R63</f>
        <v>0</v>
      </c>
      <c r="D39">
        <f>'MHP Emulator Emitter List'!X63-'MHP Emulator Emitter List'!W63</f>
        <v>3.6</v>
      </c>
    </row>
    <row r="40" spans="1:4" x14ac:dyDescent="0.2">
      <c r="A40" s="1" t="str">
        <f>'MHP Emulator Emitter List'!B65</f>
        <v>EMITTER_27</v>
      </c>
      <c r="B40">
        <f>'MHP Emulator Emitter List'!M65-'MHP Emulator Emitter List'!L65</f>
        <v>50</v>
      </c>
      <c r="C40">
        <f>'MHP Emulator Emitter List'!S65-'MHP Emulator Emitter List'!R65</f>
        <v>0</v>
      </c>
      <c r="D40">
        <f>'MHP Emulator Emitter List'!X65-'MHP Emulator Emitter List'!W65</f>
        <v>3</v>
      </c>
    </row>
    <row r="41" spans="1:4" x14ac:dyDescent="0.2">
      <c r="A41" s="1" t="str">
        <f>'MHP Emulator Emitter List'!B67</f>
        <v>EMITTER_28</v>
      </c>
      <c r="B41">
        <f>'MHP Emulator Emitter List'!M67-'MHP Emulator Emitter List'!L67</f>
        <v>220</v>
      </c>
      <c r="C41">
        <f>'MHP Emulator Emitter List'!S67-'MHP Emulator Emitter List'!R67</f>
        <v>200</v>
      </c>
      <c r="D41">
        <f>'MHP Emulator Emitter List'!X67-'MHP Emulator Emitter List'!W67</f>
        <v>1</v>
      </c>
    </row>
    <row r="42" spans="1:4" x14ac:dyDescent="0.2">
      <c r="A42" s="1" t="str">
        <f>'MHP Emulator Emitter List'!B70</f>
        <v>EMITTER_30</v>
      </c>
      <c r="B42">
        <f>'MHP Emulator Emitter List'!M70-'MHP Emulator Emitter List'!L70</f>
        <v>100</v>
      </c>
      <c r="C42">
        <f>'MHP Emulator Emitter List'!S70-'MHP Emulator Emitter List'!R70</f>
        <v>49</v>
      </c>
      <c r="D42">
        <f>'MHP Emulator Emitter List'!X70-'MHP Emulator Emitter List'!W70</f>
        <v>2</v>
      </c>
    </row>
    <row r="43" spans="1:4" x14ac:dyDescent="0.2">
      <c r="A43" s="1" t="str">
        <f>'MHP Emulator Emitter List'!B72</f>
        <v>EMITTER_31</v>
      </c>
      <c r="B43">
        <f>'MHP Emulator Emitter List'!M72-'MHP Emulator Emitter List'!L72</f>
        <v>50</v>
      </c>
      <c r="C43">
        <f>'MHP Emulator Emitter List'!S72-'MHP Emulator Emitter List'!R72</f>
        <v>295</v>
      </c>
      <c r="D43">
        <f>'MHP Emulator Emitter List'!X72-'MHP Emulator Emitter List'!W72</f>
        <v>-23</v>
      </c>
    </row>
    <row r="44" spans="1:4" x14ac:dyDescent="0.2">
      <c r="A44" s="1" t="str">
        <f>'MHP Emulator Emitter List'!B75</f>
        <v>EMITTER_34</v>
      </c>
      <c r="B44">
        <f>'MHP Emulator Emitter List'!M75-'MHP Emulator Emitter List'!L75</f>
        <v>200</v>
      </c>
      <c r="C44">
        <f>'MHP Emulator Emitter List'!S75-'MHP Emulator Emitter List'!R75</f>
        <v>20</v>
      </c>
      <c r="D44">
        <f>'MHP Emulator Emitter List'!X75-'MHP Emulator Emitter List'!W75</f>
        <v>0</v>
      </c>
    </row>
    <row r="45" spans="1:4" x14ac:dyDescent="0.2">
      <c r="A45" s="1" t="str">
        <f>'MHP Emulator Emitter List'!B77</f>
        <v>EMITTER_34</v>
      </c>
      <c r="B45">
        <f>'MHP Emulator Emitter List'!M77-'MHP Emulator Emitter List'!L77</f>
        <v>78</v>
      </c>
      <c r="C45">
        <f>'MHP Emulator Emitter List'!S77-'MHP Emulator Emitter List'!R77</f>
        <v>50</v>
      </c>
      <c r="D45">
        <f>'MHP Emulator Emitter List'!X77-'MHP Emulator Emitter List'!W77</f>
        <v>0</v>
      </c>
    </row>
    <row r="46" spans="1:4" x14ac:dyDescent="0.2">
      <c r="A46" s="1" t="str">
        <f>'MHP Emulator Emitter List'!B80</f>
        <v>EMITTER_35</v>
      </c>
      <c r="B46">
        <f>'MHP Emulator Emitter List'!M80-'MHP Emulator Emitter List'!L80</f>
        <v>50</v>
      </c>
      <c r="C46">
        <f>'MHP Emulator Emitter List'!S80-'MHP Emulator Emitter List'!R80</f>
        <v>200</v>
      </c>
      <c r="D46">
        <f>'MHP Emulator Emitter List'!X80-'MHP Emulator Emitter List'!W80</f>
        <v>0</v>
      </c>
    </row>
    <row r="47" spans="1:4" x14ac:dyDescent="0.2">
      <c r="A47" s="1" t="str">
        <f>'MHP Emulator Emitter List'!B84</f>
        <v>EMITTER_38</v>
      </c>
      <c r="B47">
        <f>'MHP Emulator Emitter List'!M84-'MHP Emulator Emitter List'!L84</f>
        <v>50</v>
      </c>
      <c r="C47">
        <f>'MHP Emulator Emitter List'!S84-'MHP Emulator Emitter List'!R84</f>
        <v>100</v>
      </c>
      <c r="D47">
        <f>'MHP Emulator Emitter List'!X84-'MHP Emulator Emitter List'!W84</f>
        <v>0</v>
      </c>
    </row>
    <row r="48" spans="1:4" x14ac:dyDescent="0.2">
      <c r="A48" s="1" t="str">
        <f>'MHP Emulator Emitter List'!B86</f>
        <v>EMITTER_39</v>
      </c>
      <c r="B48">
        <f>'MHP Emulator Emitter List'!M86-'MHP Emulator Emitter List'!L86</f>
        <v>50</v>
      </c>
      <c r="C48">
        <f>'MHP Emulator Emitter List'!S86-'MHP Emulator Emitter List'!R86</f>
        <v>50</v>
      </c>
      <c r="D48">
        <f>'MHP Emulator Emitter List'!X86-'MHP Emulator Emitter List'!W86</f>
        <v>0</v>
      </c>
    </row>
    <row r="49" spans="1:4" x14ac:dyDescent="0.2">
      <c r="A49" s="1" t="str">
        <f>'MHP Emulator Emitter List'!B87</f>
        <v>EMITTER_39</v>
      </c>
      <c r="B49">
        <f>'MHP Emulator Emitter List'!M87-'MHP Emulator Emitter List'!L87</f>
        <v>50</v>
      </c>
      <c r="C49">
        <f>'MHP Emulator Emitter List'!S87-'MHP Emulator Emitter List'!R87</f>
        <v>50</v>
      </c>
      <c r="D49">
        <f>'MHP Emulator Emitter List'!X87-'MHP Emulator Emitter List'!W87</f>
        <v>0</v>
      </c>
    </row>
    <row r="50" spans="1:4" x14ac:dyDescent="0.2">
      <c r="A50" s="1" t="str">
        <f>'MHP Emulator Emitter List'!B90</f>
        <v>EMITTER_40</v>
      </c>
      <c r="B50">
        <f>'MHP Emulator Emitter List'!M90-'MHP Emulator Emitter List'!L90</f>
        <v>60</v>
      </c>
      <c r="C50">
        <f>'MHP Emulator Emitter List'!S90-'MHP Emulator Emitter List'!R90</f>
        <v>30</v>
      </c>
      <c r="D50">
        <f>'MHP Emulator Emitter List'!X90-'MHP Emulator Emitter List'!W90</f>
        <v>18</v>
      </c>
    </row>
    <row r="51" spans="1:4" x14ac:dyDescent="0.2">
      <c r="A51" s="1" t="str">
        <f>'MHP Emulator Emitter List'!B91</f>
        <v>EMITTER_40</v>
      </c>
      <c r="B51">
        <f>'MHP Emulator Emitter List'!M91-'MHP Emulator Emitter List'!L91</f>
        <v>60</v>
      </c>
      <c r="C51">
        <f>'MHP Emulator Emitter List'!S91-'MHP Emulator Emitter List'!R91</f>
        <v>60</v>
      </c>
      <c r="D51">
        <f>'MHP Emulator Emitter List'!X91-'MHP Emulator Emitter List'!W91</f>
        <v>38</v>
      </c>
    </row>
    <row r="52" spans="1:4" x14ac:dyDescent="0.2">
      <c r="A52" s="1" t="str">
        <f>'MHP Emulator Emitter List'!B93</f>
        <v>EMITTER_41</v>
      </c>
      <c r="B52">
        <f>'MHP Emulator Emitter List'!M94-'MHP Emulator Emitter List'!L94</f>
        <v>10</v>
      </c>
      <c r="C52">
        <f>'MHP Emulator Emitter List'!S94-'MHP Emulator Emitter List'!R94</f>
        <v>0</v>
      </c>
      <c r="D52">
        <f>'MHP Emulator Emitter List'!X94-'MHP Emulator Emitter List'!W94</f>
        <v>0</v>
      </c>
    </row>
    <row r="53" spans="1:4" x14ac:dyDescent="0.2">
      <c r="A53" s="1" t="str">
        <f>'MHP Emulator Emitter List'!B96</f>
        <v>EMITTER_42</v>
      </c>
      <c r="B53">
        <f>'MHP Emulator Emitter List'!M96-'MHP Emulator Emitter List'!L96</f>
        <v>100</v>
      </c>
      <c r="C53">
        <f>'MHP Emulator Emitter List'!S96-'MHP Emulator Emitter List'!R96</f>
        <v>150</v>
      </c>
      <c r="D53">
        <f>'MHP Emulator Emitter List'!X96-'MHP Emulator Emitter List'!W96</f>
        <v>0</v>
      </c>
    </row>
    <row r="54" spans="1:4" x14ac:dyDescent="0.2">
      <c r="A54" s="1" t="e">
        <f>'MHP Emulator Emitter List'!#REF!</f>
        <v>#REF!</v>
      </c>
      <c r="B54" t="e">
        <f>'MHP Emulator Emitter List'!#REF!-'MHP Emulator Emitter List'!#REF!</f>
        <v>#REF!</v>
      </c>
      <c r="C54" t="e">
        <f>'MHP Emulator Emitter List'!#REF!-'MHP Emulator Emitter List'!#REF!</f>
        <v>#REF!</v>
      </c>
      <c r="D54" t="e">
        <f>'MHP Emulator Emitter List'!#REF!-'MHP Emulator Emitter List'!#REF!</f>
        <v>#REF!</v>
      </c>
    </row>
    <row r="55" spans="1:4" x14ac:dyDescent="0.2">
      <c r="A55" s="1" t="str">
        <f>'MHP Emulator Emitter List'!B101</f>
        <v>EMITTER_44</v>
      </c>
      <c r="B55">
        <f>'MHP Emulator Emitter List'!M101-'MHP Emulator Emitter List'!L101</f>
        <v>200</v>
      </c>
      <c r="C55">
        <f>'MHP Emulator Emitter List'!S101-'MHP Emulator Emitter List'!R101</f>
        <v>1200</v>
      </c>
      <c r="D55">
        <f>'MHP Emulator Emitter List'!X101-'MHP Emulator Emitter List'!W101</f>
        <v>0</v>
      </c>
    </row>
    <row r="56" spans="1:4" x14ac:dyDescent="0.2">
      <c r="A56" s="1" t="str">
        <f>'MHP Emulator Emitter List'!B104</f>
        <v>EMITTER_45</v>
      </c>
      <c r="B56">
        <f>'MHP Emulator Emitter List'!M104-'MHP Emulator Emitter List'!L104</f>
        <v>86</v>
      </c>
      <c r="C56">
        <f>'MHP Emulator Emitter List'!S104-'MHP Emulator Emitter List'!R104</f>
        <v>20</v>
      </c>
      <c r="D56">
        <f>'MHP Emulator Emitter List'!X104-'MHP Emulator Emitter List'!W104</f>
        <v>0</v>
      </c>
    </row>
    <row r="57" spans="1:4" x14ac:dyDescent="0.2">
      <c r="A57" s="1" t="str">
        <f>'MHP Emulator Emitter List'!B107</f>
        <v>EMITTER_48</v>
      </c>
      <c r="B57">
        <f>'MHP Emulator Emitter List'!M107-'MHP Emulator Emitter List'!L107</f>
        <v>50</v>
      </c>
      <c r="C57">
        <f>'MHP Emulator Emitter List'!S107-'MHP Emulator Emitter List'!R107</f>
        <v>50</v>
      </c>
      <c r="D57">
        <f>'MHP Emulator Emitter List'!X107-'MHP Emulator Emitter List'!W107</f>
        <v>0</v>
      </c>
    </row>
    <row r="58" spans="1:4" x14ac:dyDescent="0.2">
      <c r="A58" s="1" t="str">
        <f>'MHP Emulator Emitter List'!B108</f>
        <v>EMITTER_48</v>
      </c>
      <c r="B58">
        <f>'MHP Emulator Emitter List'!M108-'MHP Emulator Emitter List'!L108</f>
        <v>200</v>
      </c>
      <c r="C58">
        <f>'MHP Emulator Emitter List'!S108-'MHP Emulator Emitter List'!R108</f>
        <v>40</v>
      </c>
      <c r="D58">
        <f>'MHP Emulator Emitter List'!X108-'MHP Emulator Emitter List'!W108</f>
        <v>0</v>
      </c>
    </row>
    <row r="59" spans="1:4" x14ac:dyDescent="0.2">
      <c r="A59" s="1"/>
    </row>
    <row r="60" spans="1:4" x14ac:dyDescent="0.2">
      <c r="A60" s="1"/>
    </row>
    <row r="61" spans="1:4" x14ac:dyDescent="0.2">
      <c r="A61" s="1"/>
      <c r="B61" s="2"/>
    </row>
    <row r="62" spans="1:4" x14ac:dyDescent="0.2">
      <c r="A62" s="1"/>
      <c r="B62" s="2"/>
    </row>
    <row r="63" spans="1:4" x14ac:dyDescent="0.2">
      <c r="A63" s="1"/>
      <c r="B63" s="2"/>
    </row>
    <row r="64" spans="1:4" x14ac:dyDescent="0.2">
      <c r="A64" s="1"/>
      <c r="B64" s="2"/>
    </row>
    <row r="65" spans="1:2" x14ac:dyDescent="0.2">
      <c r="A65" s="1"/>
      <c r="B65" s="2"/>
    </row>
    <row r="66" spans="1:2" x14ac:dyDescent="0.2">
      <c r="A66" s="1"/>
      <c r="B66" s="2"/>
    </row>
    <row r="67" spans="1:2" x14ac:dyDescent="0.2">
      <c r="A67" s="2"/>
      <c r="B67" s="2"/>
    </row>
    <row r="68" spans="1:2" x14ac:dyDescent="0.2">
      <c r="A68" s="2"/>
      <c r="B68" s="2"/>
    </row>
  </sheetData>
  <phoneticPr fontId="0" type="noConversion"/>
  <pageMargins left="0.75" right="0.75" top="1" bottom="1" header="0.5" footer="0.5"/>
  <pageSetup orientation="portrait" r:id="rId1"/>
  <headerFooter alignWithMargins="0">
    <oddHeader>&amp;CExport Controlled Information:  This submittal of technical data is in furtherance of US Department of State approved Technical Assistance Agreement no. TA 2573-04, and amendments thereto, and is exported under ITAR exemption 22 CFR 125.4(b)(2).</oddHeader>
    <oddFooter>&amp;L&amp;D&amp;CMHP Emulator Emitter List (Unclassified)&amp;R&amp;P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4"/>
  <sheetViews>
    <sheetView workbookViewId="0">
      <selection activeCell="B12" sqref="B12"/>
    </sheetView>
  </sheetViews>
  <sheetFormatPr defaultRowHeight="12.75" x14ac:dyDescent="0.2"/>
  <cols>
    <col min="1" max="1" width="30.85546875" style="89" customWidth="1"/>
    <col min="2" max="2" width="71.140625" style="90" customWidth="1"/>
    <col min="3" max="16384" width="9.140625" style="89"/>
  </cols>
  <sheetData>
    <row r="1" spans="1:2" x14ac:dyDescent="0.2">
      <c r="A1" s="91" t="s">
        <v>270</v>
      </c>
      <c r="B1" s="92" t="s">
        <v>271</v>
      </c>
    </row>
    <row r="2" spans="1:2" x14ac:dyDescent="0.2">
      <c r="A2" s="93" t="s">
        <v>59</v>
      </c>
      <c r="B2" s="94" t="s">
        <v>272</v>
      </c>
    </row>
    <row r="3" spans="1:2" ht="25.5" x14ac:dyDescent="0.2">
      <c r="A3" s="93" t="s">
        <v>58</v>
      </c>
      <c r="B3" s="94" t="s">
        <v>273</v>
      </c>
    </row>
    <row r="4" spans="1:2" ht="38.25" x14ac:dyDescent="0.2">
      <c r="A4" s="95" t="s">
        <v>33</v>
      </c>
      <c r="B4" s="94" t="s">
        <v>274</v>
      </c>
    </row>
    <row r="5" spans="1:2" ht="25.5" x14ac:dyDescent="0.2">
      <c r="A5" s="93" t="s">
        <v>34</v>
      </c>
      <c r="B5" s="94" t="s">
        <v>275</v>
      </c>
    </row>
    <row r="6" spans="1:2" ht="25.5" x14ac:dyDescent="0.2">
      <c r="A6" s="93" t="s">
        <v>60</v>
      </c>
      <c r="B6" s="94" t="s">
        <v>276</v>
      </c>
    </row>
    <row r="7" spans="1:2" ht="25.5" x14ac:dyDescent="0.2">
      <c r="A7" s="95" t="s">
        <v>0</v>
      </c>
      <c r="B7" s="94" t="s">
        <v>298</v>
      </c>
    </row>
    <row r="8" spans="1:2" ht="51" x14ac:dyDescent="0.2">
      <c r="A8" s="95" t="s">
        <v>57</v>
      </c>
      <c r="B8" s="94" t="s">
        <v>277</v>
      </c>
    </row>
    <row r="9" spans="1:2" ht="25.5" x14ac:dyDescent="0.2">
      <c r="A9" s="95" t="s">
        <v>1</v>
      </c>
      <c r="B9" s="94" t="s">
        <v>278</v>
      </c>
    </row>
    <row r="10" spans="1:2" x14ac:dyDescent="0.2">
      <c r="A10" s="95" t="s">
        <v>307</v>
      </c>
      <c r="B10" s="94" t="s">
        <v>310</v>
      </c>
    </row>
    <row r="11" spans="1:2" x14ac:dyDescent="0.2">
      <c r="A11" s="95" t="s">
        <v>308</v>
      </c>
      <c r="B11" s="94" t="s">
        <v>311</v>
      </c>
    </row>
    <row r="12" spans="1:2" x14ac:dyDescent="0.2">
      <c r="A12" s="95" t="s">
        <v>309</v>
      </c>
      <c r="B12" s="94" t="s">
        <v>312</v>
      </c>
    </row>
    <row r="13" spans="1:2" x14ac:dyDescent="0.2">
      <c r="A13" s="93" t="s">
        <v>37</v>
      </c>
      <c r="B13" s="94" t="s">
        <v>279</v>
      </c>
    </row>
    <row r="14" spans="1:2" x14ac:dyDescent="0.2">
      <c r="A14" s="93" t="s">
        <v>36</v>
      </c>
      <c r="B14" s="94" t="s">
        <v>280</v>
      </c>
    </row>
    <row r="15" spans="1:2" x14ac:dyDescent="0.2">
      <c r="A15" s="93" t="s">
        <v>2</v>
      </c>
      <c r="B15" s="94" t="s">
        <v>281</v>
      </c>
    </row>
    <row r="16" spans="1:2" x14ac:dyDescent="0.2">
      <c r="A16" s="93" t="s">
        <v>87</v>
      </c>
      <c r="B16" s="94" t="s">
        <v>282</v>
      </c>
    </row>
    <row r="17" spans="1:2" x14ac:dyDescent="0.2">
      <c r="A17" s="93" t="s">
        <v>38</v>
      </c>
      <c r="B17" s="94" t="s">
        <v>283</v>
      </c>
    </row>
    <row r="18" spans="1:2" x14ac:dyDescent="0.2">
      <c r="A18" s="93" t="s">
        <v>39</v>
      </c>
      <c r="B18" s="94" t="s">
        <v>284</v>
      </c>
    </row>
    <row r="19" spans="1:2" x14ac:dyDescent="0.2">
      <c r="A19" s="93" t="s">
        <v>3</v>
      </c>
      <c r="B19" s="94" t="s">
        <v>297</v>
      </c>
    </row>
    <row r="20" spans="1:2" x14ac:dyDescent="0.2">
      <c r="A20" s="93" t="s">
        <v>88</v>
      </c>
      <c r="B20" s="94" t="s">
        <v>285</v>
      </c>
    </row>
    <row r="21" spans="1:2" x14ac:dyDescent="0.2">
      <c r="A21" s="93" t="s">
        <v>40</v>
      </c>
      <c r="B21" s="94" t="s">
        <v>286</v>
      </c>
    </row>
    <row r="22" spans="1:2" x14ac:dyDescent="0.2">
      <c r="A22" s="93" t="s">
        <v>41</v>
      </c>
      <c r="B22" s="94" t="s">
        <v>287</v>
      </c>
    </row>
    <row r="23" spans="1:2" x14ac:dyDescent="0.2">
      <c r="A23" s="93" t="s">
        <v>221</v>
      </c>
      <c r="B23" s="94" t="s">
        <v>288</v>
      </c>
    </row>
    <row r="24" spans="1:2" x14ac:dyDescent="0.2">
      <c r="A24" s="93" t="s">
        <v>222</v>
      </c>
      <c r="B24" s="94" t="s">
        <v>289</v>
      </c>
    </row>
    <row r="25" spans="1:2" x14ac:dyDescent="0.2">
      <c r="A25" s="95" t="s">
        <v>171</v>
      </c>
      <c r="B25" s="94" t="s">
        <v>296</v>
      </c>
    </row>
    <row r="26" spans="1:2" hidden="1" x14ac:dyDescent="0.2">
      <c r="A26" s="96" t="s">
        <v>172</v>
      </c>
      <c r="B26" s="97"/>
    </row>
    <row r="27" spans="1:2" hidden="1" x14ac:dyDescent="0.2">
      <c r="A27" s="96" t="s">
        <v>173</v>
      </c>
      <c r="B27" s="97"/>
    </row>
    <row r="28" spans="1:2" hidden="1" x14ac:dyDescent="0.2">
      <c r="A28" s="96" t="s">
        <v>174</v>
      </c>
      <c r="B28" s="97"/>
    </row>
    <row r="29" spans="1:2" hidden="1" x14ac:dyDescent="0.2">
      <c r="A29" s="96" t="s">
        <v>175</v>
      </c>
      <c r="B29" s="97"/>
    </row>
    <row r="30" spans="1:2" hidden="1" x14ac:dyDescent="0.2">
      <c r="A30" s="96" t="s">
        <v>176</v>
      </c>
      <c r="B30" s="97"/>
    </row>
    <row r="31" spans="1:2" hidden="1" x14ac:dyDescent="0.2">
      <c r="A31" s="96" t="s">
        <v>177</v>
      </c>
      <c r="B31" s="97"/>
    </row>
    <row r="32" spans="1:2" hidden="1" x14ac:dyDescent="0.2">
      <c r="A32" s="96" t="s">
        <v>178</v>
      </c>
      <c r="B32" s="97"/>
    </row>
    <row r="33" spans="1:2" hidden="1" x14ac:dyDescent="0.2">
      <c r="A33" s="96" t="s">
        <v>179</v>
      </c>
      <c r="B33" s="97"/>
    </row>
    <row r="34" spans="1:2" hidden="1" x14ac:dyDescent="0.2">
      <c r="A34" s="96" t="s">
        <v>180</v>
      </c>
      <c r="B34" s="97"/>
    </row>
    <row r="35" spans="1:2" x14ac:dyDescent="0.2">
      <c r="A35" s="98" t="s">
        <v>90</v>
      </c>
      <c r="B35" s="94" t="s">
        <v>290</v>
      </c>
    </row>
    <row r="36" spans="1:2" x14ac:dyDescent="0.2">
      <c r="A36" s="96" t="s">
        <v>181</v>
      </c>
      <c r="B36" s="94" t="s">
        <v>291</v>
      </c>
    </row>
    <row r="37" spans="1:2" hidden="1" x14ac:dyDescent="0.2">
      <c r="A37" s="96" t="s">
        <v>182</v>
      </c>
      <c r="B37" s="97"/>
    </row>
    <row r="38" spans="1:2" hidden="1" x14ac:dyDescent="0.2">
      <c r="A38" s="96" t="s">
        <v>183</v>
      </c>
      <c r="B38" s="97"/>
    </row>
    <row r="39" spans="1:2" hidden="1" x14ac:dyDescent="0.2">
      <c r="A39" s="96" t="s">
        <v>184</v>
      </c>
      <c r="B39" s="97"/>
    </row>
    <row r="40" spans="1:2" hidden="1" x14ac:dyDescent="0.2">
      <c r="A40" s="96" t="s">
        <v>185</v>
      </c>
      <c r="B40" s="97"/>
    </row>
    <row r="41" spans="1:2" hidden="1" x14ac:dyDescent="0.2">
      <c r="A41" s="96" t="s">
        <v>191</v>
      </c>
      <c r="B41" s="97"/>
    </row>
    <row r="42" spans="1:2" hidden="1" x14ac:dyDescent="0.2">
      <c r="A42" s="96" t="s">
        <v>192</v>
      </c>
      <c r="B42" s="97"/>
    </row>
    <row r="43" spans="1:2" hidden="1" x14ac:dyDescent="0.2">
      <c r="A43" s="96" t="s">
        <v>193</v>
      </c>
      <c r="B43" s="97"/>
    </row>
    <row r="44" spans="1:2" hidden="1" x14ac:dyDescent="0.2">
      <c r="A44" s="96" t="s">
        <v>194</v>
      </c>
      <c r="B44" s="97"/>
    </row>
    <row r="45" spans="1:2" hidden="1" x14ac:dyDescent="0.2">
      <c r="A45" s="96" t="s">
        <v>195</v>
      </c>
      <c r="B45" s="97"/>
    </row>
    <row r="46" spans="1:2" x14ac:dyDescent="0.2">
      <c r="A46" s="96" t="s">
        <v>186</v>
      </c>
      <c r="B46" s="94" t="s">
        <v>292</v>
      </c>
    </row>
    <row r="47" spans="1:2" x14ac:dyDescent="0.2">
      <c r="A47" s="96" t="s">
        <v>197</v>
      </c>
      <c r="B47" s="94" t="s">
        <v>293</v>
      </c>
    </row>
    <row r="48" spans="1:2" hidden="1" x14ac:dyDescent="0.2">
      <c r="A48" s="96" t="s">
        <v>198</v>
      </c>
      <c r="B48" s="94" t="s">
        <v>294</v>
      </c>
    </row>
    <row r="49" spans="1:2" x14ac:dyDescent="0.2">
      <c r="A49" s="96" t="s">
        <v>199</v>
      </c>
      <c r="B49" s="94" t="s">
        <v>295</v>
      </c>
    </row>
    <row r="50" spans="1:2" x14ac:dyDescent="0.2">
      <c r="A50" s="96" t="s">
        <v>200</v>
      </c>
      <c r="B50" s="94" t="s">
        <v>299</v>
      </c>
    </row>
    <row r="51" spans="1:2" x14ac:dyDescent="0.2">
      <c r="A51" s="96" t="s">
        <v>201</v>
      </c>
      <c r="B51" s="94" t="s">
        <v>300</v>
      </c>
    </row>
    <row r="52" spans="1:2" x14ac:dyDescent="0.2">
      <c r="A52" s="96" t="s">
        <v>202</v>
      </c>
      <c r="B52" s="94" t="s">
        <v>301</v>
      </c>
    </row>
    <row r="53" spans="1:2" x14ac:dyDescent="0.2">
      <c r="A53" s="96" t="s">
        <v>187</v>
      </c>
      <c r="B53" s="94" t="s">
        <v>302</v>
      </c>
    </row>
    <row r="54" spans="1:2" hidden="1" x14ac:dyDescent="0.2">
      <c r="A54" s="96" t="s">
        <v>188</v>
      </c>
      <c r="B54" s="97"/>
    </row>
    <row r="55" spans="1:2" hidden="1" x14ac:dyDescent="0.2">
      <c r="A55" s="96" t="s">
        <v>189</v>
      </c>
      <c r="B55" s="97"/>
    </row>
    <row r="56" spans="1:2" hidden="1" x14ac:dyDescent="0.2">
      <c r="A56" s="96" t="s">
        <v>190</v>
      </c>
      <c r="B56" s="97"/>
    </row>
    <row r="57" spans="1:2" hidden="1" x14ac:dyDescent="0.2">
      <c r="A57" s="96" t="s">
        <v>196</v>
      </c>
      <c r="B57" s="97"/>
    </row>
    <row r="58" spans="1:2" x14ac:dyDescent="0.2">
      <c r="A58" s="98" t="s">
        <v>93</v>
      </c>
      <c r="B58" s="94" t="s">
        <v>303</v>
      </c>
    </row>
    <row r="59" spans="1:2" hidden="1" x14ac:dyDescent="0.2">
      <c r="A59" s="98" t="s">
        <v>91</v>
      </c>
      <c r="B59" s="97"/>
    </row>
    <row r="60" spans="1:2" ht="25.5" x14ac:dyDescent="0.2">
      <c r="A60" s="93" t="s">
        <v>8</v>
      </c>
      <c r="B60" s="94" t="s">
        <v>304</v>
      </c>
    </row>
    <row r="61" spans="1:2" hidden="1" x14ac:dyDescent="0.2">
      <c r="A61" s="99"/>
      <c r="B61" s="97"/>
    </row>
    <row r="62" spans="1:2" hidden="1" x14ac:dyDescent="0.2">
      <c r="A62" s="95" t="s">
        <v>42</v>
      </c>
      <c r="B62" s="97"/>
    </row>
    <row r="63" spans="1:2" hidden="1" x14ac:dyDescent="0.2">
      <c r="A63" s="95" t="s">
        <v>43</v>
      </c>
      <c r="B63" s="97"/>
    </row>
    <row r="64" spans="1:2" hidden="1" x14ac:dyDescent="0.2">
      <c r="A64" s="95" t="s">
        <v>44</v>
      </c>
      <c r="B64" s="97"/>
    </row>
    <row r="65" spans="1:2" hidden="1" x14ac:dyDescent="0.2">
      <c r="A65" s="95" t="s">
        <v>45</v>
      </c>
      <c r="B65" s="97"/>
    </row>
    <row r="66" spans="1:2" hidden="1" x14ac:dyDescent="0.2">
      <c r="A66" s="93" t="s">
        <v>50</v>
      </c>
      <c r="B66" s="97"/>
    </row>
    <row r="67" spans="1:2" hidden="1" x14ac:dyDescent="0.2">
      <c r="A67" s="93" t="s">
        <v>51</v>
      </c>
      <c r="B67" s="97"/>
    </row>
    <row r="68" spans="1:2" hidden="1" x14ac:dyDescent="0.2">
      <c r="A68" s="93" t="s">
        <v>48</v>
      </c>
      <c r="B68" s="97"/>
    </row>
    <row r="69" spans="1:2" hidden="1" x14ac:dyDescent="0.2">
      <c r="A69" s="93" t="s">
        <v>47</v>
      </c>
      <c r="B69" s="97"/>
    </row>
    <row r="70" spans="1:2" hidden="1" x14ac:dyDescent="0.2">
      <c r="A70" s="93" t="s">
        <v>49</v>
      </c>
      <c r="B70" s="97"/>
    </row>
    <row r="71" spans="1:2" hidden="1" x14ac:dyDescent="0.2">
      <c r="A71" s="93" t="s">
        <v>46</v>
      </c>
      <c r="B71" s="97"/>
    </row>
    <row r="72" spans="1:2" x14ac:dyDescent="0.2">
      <c r="A72" s="93" t="s">
        <v>92</v>
      </c>
      <c r="B72" s="97"/>
    </row>
    <row r="73" spans="1:2" hidden="1" x14ac:dyDescent="0.2">
      <c r="A73" s="98" t="s">
        <v>224</v>
      </c>
      <c r="B73" s="97"/>
    </row>
    <row r="74" spans="1:2" ht="25.5" x14ac:dyDescent="0.2">
      <c r="A74" s="93" t="s">
        <v>306</v>
      </c>
      <c r="B74" s="94" t="s">
        <v>305</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B3" sqref="B3"/>
    </sheetView>
  </sheetViews>
  <sheetFormatPr defaultRowHeight="12.7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F20" sqref="F20"/>
    </sheetView>
  </sheetViews>
  <sheetFormatPr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MHP Emulator Emitter List</vt:lpstr>
      <vt:lpstr>Plot Data Sheet</vt:lpstr>
      <vt:lpstr>Parameter Description</vt:lpstr>
      <vt:lpstr>Freq Coverage</vt:lpstr>
      <vt:lpstr>Sheet2</vt:lpstr>
      <vt:lpstr>'MHP Emulator Emitter List'!Print_Area</vt:lpstr>
      <vt:lpstr>'MHP Emulator Emitter List'!Print_Titles</vt:lpstr>
    </vt:vector>
  </TitlesOfParts>
  <Company>Lockheed Martin-Owego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migliore</dc:creator>
  <cp:lastModifiedBy>User</cp:lastModifiedBy>
  <cp:lastPrinted>2012-10-03T17:29:11Z</cp:lastPrinted>
  <dcterms:created xsi:type="dcterms:W3CDTF">2005-06-28T14:55:03Z</dcterms:created>
  <dcterms:modified xsi:type="dcterms:W3CDTF">2021-04-02T18:25:28Z</dcterms:modified>
</cp:coreProperties>
</file>